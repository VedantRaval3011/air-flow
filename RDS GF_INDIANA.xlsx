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5" documentId="11_60E23E7045BA1A44A21A6C25B64C226B37DA4AB5" xr6:coauthVersionLast="47" xr6:coauthVersionMax="47" xr10:uidLastSave="{1DDB4FA3-323B-4309-885E-A99F1DDF9798}"/>
  <bookViews>
    <workbookView xWindow="-108" yWindow="-108" windowWidth="23256" windowHeight="12456" xr2:uid="{00000000-000D-0000-FFFF-FFFF00000000}"/>
  </bookViews>
  <sheets>
    <sheet name="RDS " sheetId="4" r:id="rId1"/>
  </sheets>
  <calcPr calcId="191029"/>
</workbook>
</file>

<file path=xl/calcChain.xml><?xml version="1.0" encoding="utf-8"?>
<calcChain xmlns="http://schemas.openxmlformats.org/spreadsheetml/2006/main">
  <c r="BK45" i="4" l="1"/>
  <c r="BJ45" i="4"/>
  <c r="BI45" i="4"/>
  <c r="BH45" i="4"/>
  <c r="BG45" i="4"/>
  <c r="BF45" i="4"/>
  <c r="BE45" i="4"/>
  <c r="BD45" i="4"/>
  <c r="BB45" i="4"/>
  <c r="BA45" i="4"/>
  <c r="AZ45" i="4"/>
  <c r="AY45" i="4"/>
  <c r="AX45" i="4"/>
  <c r="AW45" i="4"/>
  <c r="AV45" i="4"/>
  <c r="AU45" i="4"/>
  <c r="AT45" i="4"/>
  <c r="L44" i="4"/>
  <c r="M44" i="4" s="1"/>
  <c r="N44" i="4" s="1"/>
  <c r="X44" i="4" s="1"/>
  <c r="K44" i="4"/>
  <c r="J44" i="4"/>
  <c r="H44" i="4"/>
  <c r="F44" i="4"/>
  <c r="L43" i="4"/>
  <c r="M43" i="4" s="1"/>
  <c r="N43" i="4" s="1"/>
  <c r="X43" i="4" s="1"/>
  <c r="K43" i="4"/>
  <c r="J43" i="4"/>
  <c r="H43" i="4"/>
  <c r="F43" i="4"/>
  <c r="L42" i="4"/>
  <c r="M42" i="4" s="1"/>
  <c r="N42" i="4" s="1"/>
  <c r="X42" i="4" s="1"/>
  <c r="K42" i="4"/>
  <c r="J42" i="4"/>
  <c r="H42" i="4"/>
  <c r="F42" i="4"/>
  <c r="AQ41" i="4"/>
  <c r="AP41" i="4"/>
  <c r="AF41" i="4"/>
  <c r="AE41" i="4"/>
  <c r="AD41" i="4"/>
  <c r="AK40" i="4"/>
  <c r="X40" i="4"/>
  <c r="AK39" i="4"/>
  <c r="X39" i="4"/>
  <c r="AK38" i="4"/>
  <c r="X38" i="4"/>
  <c r="AK37" i="4"/>
  <c r="X37" i="4"/>
  <c r="AK36" i="4"/>
  <c r="X36" i="4"/>
  <c r="AK35" i="4"/>
  <c r="X35" i="4"/>
  <c r="AQ34" i="4"/>
  <c r="AP34" i="4"/>
  <c r="AF34" i="4"/>
  <c r="AE34" i="4"/>
  <c r="AD34" i="4"/>
  <c r="AK33" i="4"/>
  <c r="AK34" i="4" s="1"/>
  <c r="AL34" i="4" s="1"/>
  <c r="X33" i="4"/>
  <c r="X34" i="4" s="1"/>
  <c r="AQ32" i="4"/>
  <c r="AP32" i="4"/>
  <c r="AF32" i="4"/>
  <c r="AE32" i="4"/>
  <c r="AD32" i="4"/>
  <c r="AK31" i="4"/>
  <c r="AK32" i="4" s="1"/>
  <c r="AL32" i="4" s="1"/>
  <c r="X31" i="4"/>
  <c r="X32" i="4" s="1"/>
  <c r="AQ30" i="4"/>
  <c r="AP30" i="4"/>
  <c r="AF30" i="4"/>
  <c r="AE30" i="4"/>
  <c r="AD30" i="4"/>
  <c r="AK29" i="4"/>
  <c r="AK30" i="4" s="1"/>
  <c r="AL30" i="4" s="1"/>
  <c r="X29" i="4"/>
  <c r="X30" i="4" s="1"/>
  <c r="AQ28" i="4"/>
  <c r="AP28" i="4"/>
  <c r="AF28" i="4"/>
  <c r="AE28" i="4"/>
  <c r="AD28" i="4"/>
  <c r="X28" i="4"/>
  <c r="AH27" i="4"/>
  <c r="AK27" i="4" s="1"/>
  <c r="AG26" i="4"/>
  <c r="AK26" i="4" s="1"/>
  <c r="AK25" i="4"/>
  <c r="AK24" i="4"/>
  <c r="AQ23" i="4"/>
  <c r="AP23" i="4"/>
  <c r="AF23" i="4"/>
  <c r="AE23" i="4"/>
  <c r="AD23" i="4"/>
  <c r="X23" i="4"/>
  <c r="AK22" i="4"/>
  <c r="AK21" i="4"/>
  <c r="AK20" i="4"/>
  <c r="AK19" i="4"/>
  <c r="AH18" i="4"/>
  <c r="AG18" i="4"/>
  <c r="AK17" i="4"/>
  <c r="AK16" i="4"/>
  <c r="AQ15" i="4"/>
  <c r="AP15" i="4"/>
  <c r="AH15" i="4"/>
  <c r="AG15" i="4"/>
  <c r="AE15" i="4"/>
  <c r="AD15" i="4"/>
  <c r="X15" i="4"/>
  <c r="AK14" i="4"/>
  <c r="AK15" i="4" s="1"/>
  <c r="AF14" i="4"/>
  <c r="AF15" i="4" s="1"/>
  <c r="AQ13" i="4"/>
  <c r="AP13" i="4"/>
  <c r="AH13" i="4"/>
  <c r="AG13" i="4"/>
  <c r="AF13" i="4"/>
  <c r="AE13" i="4"/>
  <c r="AD13" i="4"/>
  <c r="X13" i="4"/>
  <c r="AK12" i="4"/>
  <c r="AK11" i="4"/>
  <c r="AK13" i="4" s="1"/>
  <c r="AL13" i="4" s="1"/>
  <c r="AK28" i="4" l="1"/>
  <c r="AL28" i="4" s="1"/>
  <c r="AK18" i="4"/>
  <c r="AK23" i="4" s="1"/>
  <c r="AL23" i="4" s="1"/>
  <c r="AK41" i="4"/>
  <c r="AL41" i="4" s="1"/>
  <c r="X41" i="4"/>
  <c r="AL1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L1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SMB: INCREASE AHU CFM INSTEAD OF FRESH AIR FOR BALANCING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SMB: INCREASE AHU CFM FOR FRESH AIR COMPANSATE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<sst xmlns="http://schemas.openxmlformats.org/spreadsheetml/2006/main" count="375" uniqueCount="146">
  <si>
    <t>SR.</t>
  </si>
  <si>
    <t xml:space="preserve">AHU </t>
  </si>
  <si>
    <t>ROOM</t>
  </si>
  <si>
    <t>ROOM DIMENSION</t>
  </si>
  <si>
    <t>AREA</t>
  </si>
  <si>
    <t>VOL.</t>
  </si>
  <si>
    <t xml:space="preserve"> TEMP.</t>
  </si>
  <si>
    <t>RH</t>
  </si>
  <si>
    <t>ROOM PRESSURE</t>
  </si>
  <si>
    <t>CLASS</t>
  </si>
  <si>
    <t>OCC</t>
  </si>
  <si>
    <t>EQPT DISSIPATED</t>
  </si>
  <si>
    <t>LIGHTING LOAD</t>
  </si>
  <si>
    <t>STEAM</t>
  </si>
  <si>
    <t xml:space="preserve">MINIMUM </t>
  </si>
  <si>
    <t>MINIMUM SUPPLY AIR</t>
  </si>
  <si>
    <t>FILTERNATION LEVEL FOR AHU</t>
  </si>
  <si>
    <t>TERMINAL DETAIL</t>
  </si>
  <si>
    <t>DEHUMIDIFIED AIR QTY</t>
  </si>
  <si>
    <t>SELECTED SUPPLY</t>
  </si>
  <si>
    <t>FRESH AIR</t>
  </si>
  <si>
    <t>PROCESS EXHAUST</t>
  </si>
  <si>
    <t>INLINE EXHAUST</t>
  </si>
  <si>
    <t>RETURN AIR</t>
  </si>
  <si>
    <t>BLEED  AIR</t>
  </si>
  <si>
    <t>COOLING COIL</t>
  </si>
  <si>
    <t xml:space="preserve">HEATING </t>
  </si>
  <si>
    <t>HEPA FILTER</t>
  </si>
  <si>
    <t>RETURN AIR RISER</t>
  </si>
  <si>
    <t>SUPPLY DIFFUSER</t>
  </si>
  <si>
    <t>RETURN DIFFUSER</t>
  </si>
  <si>
    <t>SUPPLY GRILL</t>
  </si>
  <si>
    <t>RETURN GRILL</t>
  </si>
  <si>
    <t>LENGTH</t>
  </si>
  <si>
    <t>WIDTH</t>
  </si>
  <si>
    <t>HEIGHT</t>
  </si>
  <si>
    <t>NMT</t>
  </si>
  <si>
    <t>CFM</t>
  </si>
  <si>
    <t>COOLING</t>
  </si>
  <si>
    <t>HEATING</t>
  </si>
  <si>
    <t>H1</t>
  </si>
  <si>
    <t>H2</t>
  </si>
  <si>
    <t>H3</t>
  </si>
  <si>
    <t>R1-900</t>
  </si>
  <si>
    <t>SD1</t>
  </si>
  <si>
    <t>SD2</t>
  </si>
  <si>
    <t>RD1</t>
  </si>
  <si>
    <t>RD2</t>
  </si>
  <si>
    <t>SG1</t>
  </si>
  <si>
    <t>SG2</t>
  </si>
  <si>
    <t>SG3</t>
  </si>
  <si>
    <t>RG1</t>
  </si>
  <si>
    <t>RG2</t>
  </si>
  <si>
    <t>RG3</t>
  </si>
  <si>
    <t>NO.</t>
  </si>
  <si>
    <t>NO</t>
  </si>
  <si>
    <t>NAME</t>
  </si>
  <si>
    <t>MTR</t>
  </si>
  <si>
    <t>FT</t>
  </si>
  <si>
    <t>M2</t>
  </si>
  <si>
    <t>FT2</t>
  </si>
  <si>
    <t>FT3</t>
  </si>
  <si>
    <t>DEG. F</t>
  </si>
  <si>
    <t>%</t>
  </si>
  <si>
    <t>PA</t>
  </si>
  <si>
    <t>At rest</t>
  </si>
  <si>
    <t>NOS</t>
  </si>
  <si>
    <t>KW</t>
  </si>
  <si>
    <t>WATT PER SQFT</t>
  </si>
  <si>
    <t>ACPH</t>
  </si>
  <si>
    <t>BLEED FILTER</t>
  </si>
  <si>
    <t>PRE FILTER</t>
  </si>
  <si>
    <t>FINE FILTER</t>
  </si>
  <si>
    <t>ROOM TERMINAL</t>
  </si>
  <si>
    <t>CHW/DX</t>
  </si>
  <si>
    <t>HW /HEATER</t>
  </si>
  <si>
    <t>TR</t>
  </si>
  <si>
    <t>Ointment holding room</t>
  </si>
  <si>
    <t>Material transfer Airlock</t>
  </si>
  <si>
    <t>Decartoning room</t>
  </si>
  <si>
    <t>Airlock -1</t>
  </si>
  <si>
    <t>Airlock -2</t>
  </si>
  <si>
    <t>Corridor -1</t>
  </si>
  <si>
    <t>Corridor -2</t>
  </si>
  <si>
    <t>Oointment mfg room</t>
  </si>
  <si>
    <t>Ointment fillling room</t>
  </si>
  <si>
    <t>Airlock</t>
  </si>
  <si>
    <t xml:space="preserve">Unclean Utensil </t>
  </si>
  <si>
    <t>Washing &amp; Drying area</t>
  </si>
  <si>
    <t xml:space="preserve">Clean Utensil </t>
  </si>
  <si>
    <t>Secondary packing 01</t>
  </si>
  <si>
    <t>Secondary packing 02</t>
  </si>
  <si>
    <t>Secondary packing 03</t>
  </si>
  <si>
    <t xml:space="preserve">2.0 mtr Wide Corridor </t>
  </si>
  <si>
    <t>Female Change Room-1</t>
  </si>
  <si>
    <t>Female Change Room-2</t>
  </si>
  <si>
    <t>Male Change Room-2</t>
  </si>
  <si>
    <t>Male Change Room-1</t>
  </si>
  <si>
    <t>Buffer Airlock</t>
  </si>
  <si>
    <t>Electrical room</t>
  </si>
  <si>
    <t xml:space="preserve"> Gents Toilet </t>
  </si>
  <si>
    <t xml:space="preserve">Ledies Toilet </t>
  </si>
  <si>
    <t>AHU-01</t>
  </si>
  <si>
    <t>AHU-02</t>
  </si>
  <si>
    <t>AHU-03</t>
  </si>
  <si>
    <t>AHU-04</t>
  </si>
  <si>
    <t>AHU-05</t>
  </si>
  <si>
    <t>AHU-5A</t>
  </si>
  <si>
    <t>AHU-5B</t>
  </si>
  <si>
    <t>AHU-5C</t>
  </si>
  <si>
    <t>EXT-1</t>
  </si>
  <si>
    <t>EXT-2</t>
  </si>
  <si>
    <t>EXT-3</t>
  </si>
  <si>
    <t>D</t>
  </si>
  <si>
    <t>CNC</t>
  </si>
  <si>
    <t>NC</t>
  </si>
  <si>
    <t>NA</t>
  </si>
  <si>
    <t>MM</t>
  </si>
  <si>
    <t>Season</t>
  </si>
  <si>
    <t xml:space="preserve">Temperature </t>
  </si>
  <si>
    <t>Dry Bulb F</t>
  </si>
  <si>
    <t>Wet Bulb F</t>
  </si>
  <si>
    <t xml:space="preserve">Outside Environment Condition </t>
  </si>
  <si>
    <t>Summer</t>
  </si>
  <si>
    <t>Monsoon</t>
  </si>
  <si>
    <t>Winter</t>
  </si>
  <si>
    <t>EU-4</t>
  </si>
  <si>
    <t>EU-7</t>
  </si>
  <si>
    <t>DIFFUSER</t>
  </si>
  <si>
    <t>DX</t>
  </si>
  <si>
    <t>HEATER</t>
  </si>
  <si>
    <t>FA</t>
  </si>
  <si>
    <t>INFILT</t>
  </si>
  <si>
    <t>EXFILT</t>
  </si>
  <si>
    <t xml:space="preserve">CALCULATED AHU </t>
  </si>
  <si>
    <t>CHW</t>
  </si>
  <si>
    <t>HW</t>
  </si>
  <si>
    <t>USGPM</t>
  </si>
  <si>
    <t>HEPA</t>
  </si>
  <si>
    <t>R3-750</t>
  </si>
  <si>
    <t>R2-600</t>
  </si>
  <si>
    <t>SD4</t>
  </si>
  <si>
    <t>RD4</t>
  </si>
  <si>
    <t>375X375</t>
  </si>
  <si>
    <t>300X300</t>
  </si>
  <si>
    <t>IPQC /Change part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</si>
</sst>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ahnschrift"/>
      <family val="2"/>
    </font>
    <font>
      <b/>
      <sz val="11"/>
      <color theme="1"/>
      <name val="Bahnschrift"/>
      <family val="2"/>
    </font>
    <font>
      <b/>
      <sz val="14"/>
      <color theme="1"/>
      <name val="Bahnschrift"/>
      <family val="2"/>
    </font>
    <font>
      <b/>
      <sz val="10"/>
      <name val="Bahnschrift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3" borderId="17" xfId="0" applyFont="1" applyFill="1" applyBorder="1" applyAlignment="1" applyProtection="1">
      <alignment horizontal="center" vertical="center"/>
      <protection locked="0"/>
    </xf>
    <xf numFmtId="0" fontId="4" fillId="3" borderId="18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164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vertical="center"/>
    </xf>
    <xf numFmtId="0" fontId="1" fillId="5" borderId="1" xfId="0" applyFont="1" applyFill="1" applyBorder="1"/>
    <xf numFmtId="2" fontId="1" fillId="5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1" fillId="0" borderId="0" xfId="0" applyFont="1"/>
    <xf numFmtId="1" fontId="1" fillId="4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2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0" xfId="0" applyFill="1"/>
    <xf numFmtId="0" fontId="0" fillId="4" borderId="4" xfId="0" applyFill="1" applyBorder="1" applyAlignment="1">
      <alignment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5"/>
  <sheetViews>
    <sheetView tabSelected="1" zoomScale="85" zoomScaleNormal="85" workbookViewId="0">
      <pane xSplit="4" ySplit="10" topLeftCell="E11" activePane="bottomRight" state="frozen"/>
      <selection pane="topRight" activeCell="E1" sqref="E1"/>
      <selection pane="bottomLeft" activeCell="A5" sqref="A5"/>
      <selection pane="bottomRight" activeCell="D22" sqref="D22"/>
    </sheetView>
  </sheetViews>
  <sheetFormatPr defaultRowHeight="14.4" x14ac:dyDescent="0.3"/>
  <cols>
    <col min="1" max="1" width="8.88671875" style="1"/>
    <col min="2" max="2" width="8.88671875" style="2"/>
    <col min="3" max="3" width="6.44140625" customWidth="1"/>
    <col min="4" max="4" width="22" customWidth="1"/>
    <col min="5" max="5" width="8.88671875" style="7" customWidth="1"/>
    <col min="6" max="6" width="8.88671875" style="11" customWidth="1"/>
    <col min="7" max="7" width="8.88671875" style="7" customWidth="1"/>
    <col min="8" max="8" width="8.88671875" style="11" customWidth="1"/>
    <col min="9" max="9" width="8.88671875" style="7" customWidth="1"/>
    <col min="10" max="10" width="8.88671875" style="11" customWidth="1"/>
    <col min="11" max="11" width="8.88671875" style="9" customWidth="1"/>
    <col min="12" max="16" width="8.88671875" customWidth="1"/>
    <col min="17" max="19" width="8.88671875" style="1"/>
    <col min="20" max="20" width="11.77734375" customWidth="1"/>
    <col min="21" max="21" width="9.6640625" customWidth="1"/>
    <col min="24" max="24" width="9.33203125" customWidth="1"/>
    <col min="29" max="29" width="10.33203125" customWidth="1"/>
    <col min="30" max="30" width="13.44140625" customWidth="1"/>
    <col min="31" max="31" width="10.33203125" customWidth="1"/>
    <col min="32" max="36" width="10.33203125" hidden="1" customWidth="1"/>
    <col min="37" max="38" width="10.33203125" customWidth="1"/>
    <col min="39" max="40" width="10.33203125" hidden="1" customWidth="1"/>
    <col min="41" max="41" width="12.44140625" customWidth="1"/>
    <col min="42" max="43" width="10.33203125" customWidth="1"/>
    <col min="44" max="45" width="10.33203125" hidden="1" customWidth="1"/>
    <col min="46" max="51" width="8.88671875" style="1" customWidth="1"/>
    <col min="52" max="63" width="8.88671875" style="1"/>
  </cols>
  <sheetData>
    <row r="1" spans="1:63" x14ac:dyDescent="0.3">
      <c r="M1" s="44" t="s">
        <v>118</v>
      </c>
      <c r="N1" s="45"/>
      <c r="O1" s="46" t="s">
        <v>119</v>
      </c>
      <c r="P1" s="46"/>
      <c r="Q1" s="47" t="s">
        <v>7</v>
      </c>
    </row>
    <row r="2" spans="1:63" ht="27.6" x14ac:dyDescent="0.3">
      <c r="M2" s="42"/>
      <c r="N2" s="43"/>
      <c r="O2" s="12" t="s">
        <v>120</v>
      </c>
      <c r="P2" s="12" t="s">
        <v>121</v>
      </c>
      <c r="Q2" s="48"/>
    </row>
    <row r="3" spans="1:63" ht="15" x14ac:dyDescent="0.3">
      <c r="M3" s="42" t="s">
        <v>122</v>
      </c>
      <c r="N3" s="43"/>
      <c r="O3" s="43"/>
      <c r="P3" s="43"/>
      <c r="Q3" s="49"/>
    </row>
    <row r="4" spans="1:63" ht="17.399999999999999" x14ac:dyDescent="0.3">
      <c r="M4" s="42" t="s">
        <v>123</v>
      </c>
      <c r="N4" s="43"/>
      <c r="O4" s="12">
        <v>110</v>
      </c>
      <c r="P4" s="12">
        <v>78</v>
      </c>
      <c r="Q4" s="33">
        <v>24</v>
      </c>
    </row>
    <row r="5" spans="1:63" ht="17.399999999999999" x14ac:dyDescent="0.3">
      <c r="M5" s="42" t="s">
        <v>124</v>
      </c>
      <c r="N5" s="43"/>
      <c r="O5" s="12">
        <v>95</v>
      </c>
      <c r="P5" s="12">
        <v>82</v>
      </c>
      <c r="Q5" s="33">
        <v>75</v>
      </c>
    </row>
    <row r="6" spans="1:63" ht="18" thickBot="1" x14ac:dyDescent="0.35">
      <c r="M6" s="50" t="s">
        <v>125</v>
      </c>
      <c r="N6" s="51"/>
      <c r="O6" s="13">
        <v>50</v>
      </c>
      <c r="P6" s="13">
        <v>46</v>
      </c>
      <c r="Q6" s="14">
        <v>60</v>
      </c>
    </row>
    <row r="7" spans="1:63" x14ac:dyDescent="0.3">
      <c r="BA7" s="1" t="s">
        <v>143</v>
      </c>
      <c r="BB7" s="1" t="s">
        <v>144</v>
      </c>
      <c r="BD7" s="1" t="s">
        <v>143</v>
      </c>
      <c r="BE7" s="1" t="s">
        <v>144</v>
      </c>
    </row>
    <row r="8" spans="1:63" s="18" customFormat="1" ht="15.75" customHeight="1" x14ac:dyDescent="0.3">
      <c r="A8" s="52" t="s">
        <v>0</v>
      </c>
      <c r="B8" s="52" t="s">
        <v>1</v>
      </c>
      <c r="C8" s="52" t="s">
        <v>2</v>
      </c>
      <c r="D8" s="52" t="s">
        <v>2</v>
      </c>
      <c r="E8" s="53" t="s">
        <v>3</v>
      </c>
      <c r="F8" s="53"/>
      <c r="G8" s="53"/>
      <c r="H8" s="53"/>
      <c r="I8" s="53"/>
      <c r="J8" s="53"/>
      <c r="K8" s="53"/>
      <c r="L8" s="54" t="s">
        <v>4</v>
      </c>
      <c r="M8" s="55"/>
      <c r="N8" s="58" t="s">
        <v>5</v>
      </c>
      <c r="O8" s="16" t="s">
        <v>6</v>
      </c>
      <c r="P8" s="16" t="s">
        <v>7</v>
      </c>
      <c r="Q8" s="53" t="s">
        <v>8</v>
      </c>
      <c r="R8" s="53" t="s">
        <v>9</v>
      </c>
      <c r="S8" s="53" t="s">
        <v>10</v>
      </c>
      <c r="T8" s="60" t="s">
        <v>11</v>
      </c>
      <c r="U8" s="60" t="s">
        <v>12</v>
      </c>
      <c r="V8" s="60" t="s">
        <v>13</v>
      </c>
      <c r="W8" s="60" t="s">
        <v>14</v>
      </c>
      <c r="X8" s="60" t="s">
        <v>15</v>
      </c>
      <c r="Y8" s="53" t="s">
        <v>16</v>
      </c>
      <c r="Z8" s="53"/>
      <c r="AA8" s="53"/>
      <c r="AB8" s="53"/>
      <c r="AC8" s="53" t="s">
        <v>17</v>
      </c>
      <c r="AD8" s="60" t="s">
        <v>18</v>
      </c>
      <c r="AE8" s="60" t="s">
        <v>19</v>
      </c>
      <c r="AF8" s="60" t="s">
        <v>131</v>
      </c>
      <c r="AG8" s="60" t="s">
        <v>132</v>
      </c>
      <c r="AH8" s="60" t="s">
        <v>133</v>
      </c>
      <c r="AI8" s="60" t="s">
        <v>21</v>
      </c>
      <c r="AJ8" s="60" t="s">
        <v>22</v>
      </c>
      <c r="AK8" s="60" t="s">
        <v>23</v>
      </c>
      <c r="AL8" s="60" t="s">
        <v>24</v>
      </c>
      <c r="AM8" s="60" t="s">
        <v>25</v>
      </c>
      <c r="AN8" s="60" t="s">
        <v>26</v>
      </c>
      <c r="AO8" s="60" t="s">
        <v>134</v>
      </c>
      <c r="AP8" s="60" t="s">
        <v>38</v>
      </c>
      <c r="AQ8" s="60" t="s">
        <v>39</v>
      </c>
      <c r="AR8" s="60" t="s">
        <v>135</v>
      </c>
      <c r="AS8" s="60" t="s">
        <v>136</v>
      </c>
      <c r="AT8" s="53" t="s">
        <v>27</v>
      </c>
      <c r="AU8" s="53"/>
      <c r="AV8" s="53"/>
      <c r="AW8" s="65" t="s">
        <v>28</v>
      </c>
      <c r="AX8" s="65"/>
      <c r="AY8" s="65"/>
      <c r="AZ8" s="53" t="s">
        <v>29</v>
      </c>
      <c r="BA8" s="53"/>
      <c r="BB8" s="53"/>
      <c r="BC8" s="65" t="s">
        <v>30</v>
      </c>
      <c r="BD8" s="65"/>
      <c r="BE8" s="65"/>
      <c r="BF8" s="53" t="s">
        <v>31</v>
      </c>
      <c r="BG8" s="53"/>
      <c r="BH8" s="53"/>
      <c r="BI8" s="53" t="s">
        <v>32</v>
      </c>
      <c r="BJ8" s="53"/>
      <c r="BK8" s="53"/>
    </row>
    <row r="9" spans="1:63" s="19" customFormat="1" ht="13.8" x14ac:dyDescent="0.3">
      <c r="A9" s="52"/>
      <c r="B9" s="52"/>
      <c r="C9" s="52"/>
      <c r="D9" s="52"/>
      <c r="E9" s="63" t="s">
        <v>33</v>
      </c>
      <c r="F9" s="64"/>
      <c r="G9" s="63" t="s">
        <v>34</v>
      </c>
      <c r="H9" s="64"/>
      <c r="I9" s="53" t="s">
        <v>35</v>
      </c>
      <c r="J9" s="53"/>
      <c r="K9" s="53"/>
      <c r="L9" s="56"/>
      <c r="M9" s="57"/>
      <c r="N9" s="59"/>
      <c r="O9" s="17" t="s">
        <v>36</v>
      </c>
      <c r="P9" s="17" t="s">
        <v>36</v>
      </c>
      <c r="Q9" s="53"/>
      <c r="R9" s="53"/>
      <c r="S9" s="53"/>
      <c r="T9" s="61"/>
      <c r="U9" s="61"/>
      <c r="V9" s="62"/>
      <c r="W9" s="61"/>
      <c r="X9" s="61"/>
      <c r="Y9" s="53"/>
      <c r="Z9" s="53"/>
      <c r="AA9" s="53"/>
      <c r="AB9" s="53"/>
      <c r="AC9" s="53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17" t="s">
        <v>40</v>
      </c>
      <c r="AU9" s="17" t="s">
        <v>41</v>
      </c>
      <c r="AV9" s="17" t="s">
        <v>42</v>
      </c>
      <c r="AW9" s="34" t="s">
        <v>43</v>
      </c>
      <c r="AX9" s="34" t="s">
        <v>139</v>
      </c>
      <c r="AY9" s="34" t="s">
        <v>140</v>
      </c>
      <c r="AZ9" s="17" t="s">
        <v>44</v>
      </c>
      <c r="BA9" s="17" t="s">
        <v>45</v>
      </c>
      <c r="BB9" s="17" t="s">
        <v>141</v>
      </c>
      <c r="BC9" s="34" t="s">
        <v>46</v>
      </c>
      <c r="BD9" s="34" t="s">
        <v>47</v>
      </c>
      <c r="BE9" s="34" t="s">
        <v>142</v>
      </c>
      <c r="BF9" s="17" t="s">
        <v>48</v>
      </c>
      <c r="BG9" s="17" t="s">
        <v>49</v>
      </c>
      <c r="BH9" s="17" t="s">
        <v>50</v>
      </c>
      <c r="BI9" s="17" t="s">
        <v>51</v>
      </c>
      <c r="BJ9" s="17" t="s">
        <v>52</v>
      </c>
      <c r="BK9" s="17" t="s">
        <v>53</v>
      </c>
    </row>
    <row r="10" spans="1:63" s="18" customFormat="1" ht="26.4" x14ac:dyDescent="0.3">
      <c r="A10" s="16" t="s">
        <v>54</v>
      </c>
      <c r="B10" s="17" t="s">
        <v>55</v>
      </c>
      <c r="C10" s="17" t="s">
        <v>54</v>
      </c>
      <c r="D10" s="16" t="s">
        <v>56</v>
      </c>
      <c r="E10" s="20" t="s">
        <v>57</v>
      </c>
      <c r="F10" s="21" t="s">
        <v>117</v>
      </c>
      <c r="G10" s="20" t="s">
        <v>57</v>
      </c>
      <c r="H10" s="21" t="s">
        <v>117</v>
      </c>
      <c r="I10" s="20" t="s">
        <v>57</v>
      </c>
      <c r="J10" s="21" t="s">
        <v>117</v>
      </c>
      <c r="K10" s="22" t="s">
        <v>58</v>
      </c>
      <c r="L10" s="16" t="s">
        <v>59</v>
      </c>
      <c r="M10" s="16" t="s">
        <v>60</v>
      </c>
      <c r="N10" s="16" t="s">
        <v>61</v>
      </c>
      <c r="O10" s="16" t="s">
        <v>62</v>
      </c>
      <c r="P10" s="16" t="s">
        <v>63</v>
      </c>
      <c r="Q10" s="16" t="s">
        <v>64</v>
      </c>
      <c r="R10" s="16" t="s">
        <v>65</v>
      </c>
      <c r="S10" s="16" t="s">
        <v>66</v>
      </c>
      <c r="T10" s="16" t="s">
        <v>67</v>
      </c>
      <c r="U10" s="17" t="s">
        <v>68</v>
      </c>
      <c r="V10" s="61"/>
      <c r="W10" s="16" t="s">
        <v>69</v>
      </c>
      <c r="X10" s="16" t="s">
        <v>37</v>
      </c>
      <c r="Y10" s="17" t="s">
        <v>20</v>
      </c>
      <c r="Z10" s="17" t="s">
        <v>70</v>
      </c>
      <c r="AA10" s="17" t="s">
        <v>71</v>
      </c>
      <c r="AB10" s="17" t="s">
        <v>72</v>
      </c>
      <c r="AC10" s="17" t="s">
        <v>73</v>
      </c>
      <c r="AD10" s="17" t="s">
        <v>37</v>
      </c>
      <c r="AE10" s="17" t="s">
        <v>37</v>
      </c>
      <c r="AF10" s="17" t="s">
        <v>37</v>
      </c>
      <c r="AG10" s="17" t="s">
        <v>37</v>
      </c>
      <c r="AH10" s="17" t="s">
        <v>37</v>
      </c>
      <c r="AI10" s="17" t="s">
        <v>37</v>
      </c>
      <c r="AJ10" s="17" t="s">
        <v>37</v>
      </c>
      <c r="AK10" s="17" t="s">
        <v>37</v>
      </c>
      <c r="AL10" s="17" t="s">
        <v>37</v>
      </c>
      <c r="AM10" s="17" t="s">
        <v>74</v>
      </c>
      <c r="AN10" s="17" t="s">
        <v>75</v>
      </c>
      <c r="AO10" s="17" t="s">
        <v>37</v>
      </c>
      <c r="AP10" s="17" t="s">
        <v>76</v>
      </c>
      <c r="AQ10" s="17" t="s">
        <v>67</v>
      </c>
      <c r="AR10" s="17" t="s">
        <v>137</v>
      </c>
      <c r="AS10" s="17" t="s">
        <v>137</v>
      </c>
      <c r="AT10" s="16">
        <v>1000</v>
      </c>
      <c r="AU10" s="16">
        <v>560</v>
      </c>
      <c r="AV10" s="16">
        <v>250</v>
      </c>
      <c r="AW10" s="32">
        <v>600</v>
      </c>
      <c r="AX10" s="32">
        <v>490</v>
      </c>
      <c r="AY10" s="32">
        <v>380</v>
      </c>
      <c r="AZ10" s="16">
        <v>1150</v>
      </c>
      <c r="BA10" s="16">
        <v>650</v>
      </c>
      <c r="BB10" s="16">
        <v>300</v>
      </c>
      <c r="BC10" s="32">
        <v>1150</v>
      </c>
      <c r="BD10" s="32">
        <v>650</v>
      </c>
      <c r="BE10" s="32">
        <v>300</v>
      </c>
      <c r="BF10" s="16">
        <v>1700</v>
      </c>
      <c r="BG10" s="16">
        <v>1000</v>
      </c>
      <c r="BH10" s="16">
        <v>500</v>
      </c>
      <c r="BI10" s="16">
        <v>1700</v>
      </c>
      <c r="BJ10" s="16">
        <v>1000</v>
      </c>
      <c r="BK10" s="16">
        <v>500</v>
      </c>
    </row>
    <row r="11" spans="1:63" x14ac:dyDescent="0.3">
      <c r="A11" s="3">
        <v>1</v>
      </c>
      <c r="B11" s="15" t="s">
        <v>102</v>
      </c>
      <c r="C11" s="4"/>
      <c r="D11" s="4" t="s">
        <v>84</v>
      </c>
      <c r="E11" s="8">
        <v>8.4499999999999993</v>
      </c>
      <c r="F11" s="10">
        <v>8450</v>
      </c>
      <c r="G11" s="8">
        <v>3.75</v>
      </c>
      <c r="H11" s="10">
        <v>3750</v>
      </c>
      <c r="I11" s="6">
        <v>3.5</v>
      </c>
      <c r="J11" s="10">
        <v>3500</v>
      </c>
      <c r="K11" s="8">
        <v>11.482939632545932</v>
      </c>
      <c r="L11" s="6">
        <v>31.687499999999996</v>
      </c>
      <c r="M11" s="6">
        <v>340.95749999999998</v>
      </c>
      <c r="N11" s="6">
        <v>3915.1943897637793</v>
      </c>
      <c r="O11" s="3">
        <v>77</v>
      </c>
      <c r="P11" s="3">
        <v>55</v>
      </c>
      <c r="Q11" s="3">
        <v>20</v>
      </c>
      <c r="R11" s="3" t="s">
        <v>113</v>
      </c>
      <c r="S11" s="3">
        <v>2</v>
      </c>
      <c r="T11" s="3">
        <v>15</v>
      </c>
      <c r="U11" s="3">
        <v>1.2</v>
      </c>
      <c r="V11" s="3">
        <v>2</v>
      </c>
      <c r="W11" s="3">
        <v>30</v>
      </c>
      <c r="X11" s="10">
        <v>1957.0960499999997</v>
      </c>
      <c r="Y11" s="3" t="s">
        <v>126</v>
      </c>
      <c r="Z11" s="3" t="s">
        <v>116</v>
      </c>
      <c r="AA11" s="3" t="s">
        <v>126</v>
      </c>
      <c r="AB11" s="3" t="s">
        <v>127</v>
      </c>
      <c r="AC11" s="3" t="s">
        <v>138</v>
      </c>
      <c r="AD11" s="10">
        <v>2956.978570671497</v>
      </c>
      <c r="AE11" s="10">
        <v>2956.978570671497</v>
      </c>
      <c r="AF11" s="10">
        <v>65.236534999999989</v>
      </c>
      <c r="AG11" s="3">
        <v>132</v>
      </c>
      <c r="AH11" s="3">
        <v>132</v>
      </c>
      <c r="AI11" s="3">
        <v>0</v>
      </c>
      <c r="AJ11" s="3">
        <v>0</v>
      </c>
      <c r="AK11" s="10">
        <f>AE11+AG11-AH11</f>
        <v>2956.978570671497</v>
      </c>
      <c r="AL11" s="3"/>
      <c r="AM11" s="3" t="s">
        <v>129</v>
      </c>
      <c r="AN11" s="3" t="s">
        <v>130</v>
      </c>
      <c r="AO11" s="3"/>
      <c r="AP11" s="6">
        <v>5.8978511507639064</v>
      </c>
      <c r="AQ11" s="6">
        <v>3.1244477483733037</v>
      </c>
      <c r="AR11" s="3"/>
      <c r="AS11" s="3"/>
      <c r="AT11" s="3">
        <v>4</v>
      </c>
      <c r="AU11" s="3"/>
      <c r="AV11" s="3"/>
      <c r="AW11" s="3"/>
      <c r="AX11" s="3">
        <v>6</v>
      </c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3" x14ac:dyDescent="0.3">
      <c r="A12" s="3">
        <v>2</v>
      </c>
      <c r="B12" s="15" t="s">
        <v>102</v>
      </c>
      <c r="C12" s="4"/>
      <c r="D12" s="4" t="s">
        <v>77</v>
      </c>
      <c r="E12" s="8">
        <v>2.7</v>
      </c>
      <c r="F12" s="10">
        <v>2700</v>
      </c>
      <c r="G12" s="8">
        <v>3.75</v>
      </c>
      <c r="H12" s="10">
        <v>3750</v>
      </c>
      <c r="I12" s="6">
        <v>3</v>
      </c>
      <c r="J12" s="10">
        <v>3000</v>
      </c>
      <c r="K12" s="8">
        <v>9.8425196850393704</v>
      </c>
      <c r="L12" s="6">
        <v>10.125</v>
      </c>
      <c r="M12" s="6">
        <v>108.94499999999999</v>
      </c>
      <c r="N12" s="6">
        <v>1072.293307086614</v>
      </c>
      <c r="O12" s="3">
        <v>77</v>
      </c>
      <c r="P12" s="3">
        <v>55</v>
      </c>
      <c r="Q12" s="3">
        <v>30</v>
      </c>
      <c r="R12" s="3" t="s">
        <v>113</v>
      </c>
      <c r="S12" s="3">
        <v>1</v>
      </c>
      <c r="T12" s="3">
        <v>5</v>
      </c>
      <c r="U12" s="3">
        <v>1.2</v>
      </c>
      <c r="V12" s="3">
        <v>0</v>
      </c>
      <c r="W12" s="3">
        <v>30</v>
      </c>
      <c r="X12" s="10">
        <v>536.00940000000003</v>
      </c>
      <c r="Y12" s="3" t="s">
        <v>126</v>
      </c>
      <c r="Z12" s="3" t="s">
        <v>116</v>
      </c>
      <c r="AA12" s="3" t="s">
        <v>126</v>
      </c>
      <c r="AB12" s="3" t="s">
        <v>127</v>
      </c>
      <c r="AC12" s="3" t="s">
        <v>138</v>
      </c>
      <c r="AD12" s="10">
        <v>979.71270730434787</v>
      </c>
      <c r="AE12" s="10">
        <v>979.71270730434787</v>
      </c>
      <c r="AF12" s="10">
        <v>17.866980000000002</v>
      </c>
      <c r="AG12" s="3">
        <v>132</v>
      </c>
      <c r="AH12" s="3"/>
      <c r="AI12" s="3">
        <v>0</v>
      </c>
      <c r="AJ12" s="3">
        <v>0</v>
      </c>
      <c r="AK12" s="10">
        <f>AE12+AG12-AH12</f>
        <v>1111.712707304348</v>
      </c>
      <c r="AL12" s="3"/>
      <c r="AM12" s="3" t="s">
        <v>129</v>
      </c>
      <c r="AN12" s="3" t="s">
        <v>130</v>
      </c>
      <c r="AO12" s="3"/>
      <c r="AP12" s="6">
        <v>1.951129866499314</v>
      </c>
      <c r="AQ12" s="6">
        <v>0.9144213843061112</v>
      </c>
      <c r="AR12" s="3"/>
      <c r="AS12" s="3"/>
      <c r="AT12" s="3"/>
      <c r="AU12" s="3">
        <v>2</v>
      </c>
      <c r="AV12" s="3"/>
      <c r="AW12" s="3"/>
      <c r="AX12" s="3"/>
      <c r="AY12" s="3">
        <v>3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 s="30" customFormat="1" x14ac:dyDescent="0.3">
      <c r="A13" s="25"/>
      <c r="B13" s="26"/>
      <c r="C13" s="27"/>
      <c r="D13" s="27"/>
      <c r="E13" s="28"/>
      <c r="F13" s="24"/>
      <c r="G13" s="28"/>
      <c r="H13" s="24"/>
      <c r="I13" s="29"/>
      <c r="J13" s="24"/>
      <c r="K13" s="28"/>
      <c r="L13" s="29"/>
      <c r="M13" s="29"/>
      <c r="N13" s="29"/>
      <c r="O13" s="25"/>
      <c r="P13" s="25"/>
      <c r="Q13" s="25"/>
      <c r="R13" s="25"/>
      <c r="S13" s="25"/>
      <c r="T13" s="25"/>
      <c r="U13" s="25"/>
      <c r="V13" s="25"/>
      <c r="W13" s="25"/>
      <c r="X13" s="24">
        <f>SUM(X11:X12)</f>
        <v>2493.1054499999996</v>
      </c>
      <c r="Y13" s="25"/>
      <c r="Z13" s="25"/>
      <c r="AA13" s="25"/>
      <c r="AB13" s="25"/>
      <c r="AC13" s="25"/>
      <c r="AD13" s="24">
        <f>SUM(AD11:AD12)</f>
        <v>3936.691277975845</v>
      </c>
      <c r="AE13" s="24">
        <f>SUM(AE11:AE12)</f>
        <v>3936.691277975845</v>
      </c>
      <c r="AF13" s="24">
        <f>SUM(AF11:AF12)</f>
        <v>83.103514999999987</v>
      </c>
      <c r="AG13" s="25">
        <f>SUM(AG11:AG12)</f>
        <v>264</v>
      </c>
      <c r="AH13" s="25">
        <f>SUM(AH11:AH12)</f>
        <v>132</v>
      </c>
      <c r="AI13" s="25">
        <v>0</v>
      </c>
      <c r="AJ13" s="25">
        <v>0</v>
      </c>
      <c r="AK13" s="24">
        <f>SUM(AK11:AK12)</f>
        <v>4068.691277975845</v>
      </c>
      <c r="AL13" s="24">
        <f>AK13+AF13-AE13</f>
        <v>215.10351499999979</v>
      </c>
      <c r="AM13" s="25"/>
      <c r="AN13" s="25"/>
      <c r="AO13" s="25">
        <v>4500</v>
      </c>
      <c r="AP13" s="29">
        <f>SUM(AP11:AP12)</f>
        <v>7.8489810172632204</v>
      </c>
      <c r="AQ13" s="29">
        <f>SUM(AQ11:AQ12)</f>
        <v>4.0388691326794151</v>
      </c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</row>
    <row r="14" spans="1:63" s="40" customFormat="1" x14ac:dyDescent="0.3">
      <c r="A14" s="23">
        <v>3</v>
      </c>
      <c r="B14" s="35" t="s">
        <v>103</v>
      </c>
      <c r="C14" s="36"/>
      <c r="D14" s="36" t="s">
        <v>85</v>
      </c>
      <c r="E14" s="37">
        <v>3.5</v>
      </c>
      <c r="F14" s="38">
        <v>3500</v>
      </c>
      <c r="G14" s="37">
        <v>6.2</v>
      </c>
      <c r="H14" s="38">
        <v>6200</v>
      </c>
      <c r="I14" s="39">
        <v>3</v>
      </c>
      <c r="J14" s="38">
        <v>3000</v>
      </c>
      <c r="K14" s="37">
        <v>9.8425196850393704</v>
      </c>
      <c r="L14" s="39">
        <v>21.7</v>
      </c>
      <c r="M14" s="39">
        <v>233.49199999999999</v>
      </c>
      <c r="N14" s="39">
        <v>2298.1496062992128</v>
      </c>
      <c r="O14" s="23">
        <v>77</v>
      </c>
      <c r="P14" s="23">
        <v>55</v>
      </c>
      <c r="Q14" s="23">
        <v>20</v>
      </c>
      <c r="R14" s="23" t="s">
        <v>113</v>
      </c>
      <c r="S14" s="23">
        <v>2</v>
      </c>
      <c r="T14" s="23">
        <v>5</v>
      </c>
      <c r="U14" s="23">
        <v>1.2</v>
      </c>
      <c r="V14" s="23">
        <v>0</v>
      </c>
      <c r="W14" s="23">
        <v>30</v>
      </c>
      <c r="X14" s="38">
        <v>1148.7806399999999</v>
      </c>
      <c r="Y14" s="23" t="s">
        <v>126</v>
      </c>
      <c r="Z14" s="23" t="s">
        <v>116</v>
      </c>
      <c r="AA14" s="23" t="s">
        <v>126</v>
      </c>
      <c r="AB14" s="23" t="s">
        <v>127</v>
      </c>
      <c r="AC14" s="23" t="s">
        <v>138</v>
      </c>
      <c r="AD14" s="38">
        <v>1155.5753610975842</v>
      </c>
      <c r="AE14" s="38">
        <v>1155.5753610975842</v>
      </c>
      <c r="AF14" s="38">
        <f>38.292688+330</f>
        <v>368.292688</v>
      </c>
      <c r="AG14" s="23">
        <v>132</v>
      </c>
      <c r="AH14" s="23">
        <v>500</v>
      </c>
      <c r="AI14" s="23">
        <v>0</v>
      </c>
      <c r="AJ14" s="23">
        <v>0</v>
      </c>
      <c r="AK14" s="38">
        <f>AE14+AG14-AH14</f>
        <v>787.57536109758416</v>
      </c>
      <c r="AL14" s="23"/>
      <c r="AM14" s="23" t="s">
        <v>129</v>
      </c>
      <c r="AN14" s="23" t="s">
        <v>130</v>
      </c>
      <c r="AO14" s="23"/>
      <c r="AP14" s="39">
        <v>2.3929293577071711</v>
      </c>
      <c r="AQ14" s="39">
        <v>1.9597969421671715</v>
      </c>
      <c r="AR14" s="23"/>
      <c r="AS14" s="23"/>
      <c r="AT14" s="23">
        <v>2</v>
      </c>
      <c r="AU14" s="23"/>
      <c r="AV14" s="23"/>
      <c r="AW14" s="23"/>
      <c r="AX14" s="23">
        <v>4</v>
      </c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</row>
    <row r="15" spans="1:63" s="30" customFormat="1" x14ac:dyDescent="0.3">
      <c r="A15" s="25"/>
      <c r="B15" s="26"/>
      <c r="C15" s="27"/>
      <c r="D15" s="27"/>
      <c r="E15" s="28"/>
      <c r="F15" s="24"/>
      <c r="G15" s="28"/>
      <c r="H15" s="24"/>
      <c r="I15" s="29"/>
      <c r="J15" s="24"/>
      <c r="K15" s="28"/>
      <c r="L15" s="29"/>
      <c r="M15" s="29"/>
      <c r="N15" s="29"/>
      <c r="O15" s="25"/>
      <c r="P15" s="25"/>
      <c r="Q15" s="25"/>
      <c r="R15" s="25"/>
      <c r="S15" s="25"/>
      <c r="T15" s="25"/>
      <c r="U15" s="25"/>
      <c r="V15" s="25"/>
      <c r="W15" s="25"/>
      <c r="X15" s="24">
        <f>SUM(X14)</f>
        <v>1148.7806399999999</v>
      </c>
      <c r="Y15" s="25"/>
      <c r="Z15" s="25"/>
      <c r="AA15" s="25"/>
      <c r="AB15" s="25"/>
      <c r="AC15" s="25"/>
      <c r="AD15" s="24">
        <f>SUM(AD14)</f>
        <v>1155.5753610975842</v>
      </c>
      <c r="AE15" s="24">
        <f>SUM(AE14)</f>
        <v>1155.5753610975842</v>
      </c>
      <c r="AF15" s="24">
        <f>SUM(AF14)</f>
        <v>368.292688</v>
      </c>
      <c r="AG15" s="25">
        <f>SUM(AG14)</f>
        <v>132</v>
      </c>
      <c r="AH15" s="25">
        <f>SUM(AH14)</f>
        <v>500</v>
      </c>
      <c r="AI15" s="25">
        <v>0</v>
      </c>
      <c r="AJ15" s="25">
        <v>0</v>
      </c>
      <c r="AK15" s="24">
        <f>SUM(AK14)</f>
        <v>787.57536109758416</v>
      </c>
      <c r="AL15" s="31">
        <f>AK15+AF15-AE15</f>
        <v>0.29268799999999828</v>
      </c>
      <c r="AM15" s="25"/>
      <c r="AN15" s="25"/>
      <c r="AO15" s="25">
        <v>1700</v>
      </c>
      <c r="AP15" s="29">
        <f>SUM(AP14)</f>
        <v>2.3929293577071711</v>
      </c>
      <c r="AQ15" s="29">
        <f>SUM(AQ14)</f>
        <v>1.9597969421671715</v>
      </c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</row>
    <row r="16" spans="1:63" x14ac:dyDescent="0.3">
      <c r="A16" s="3">
        <v>4</v>
      </c>
      <c r="B16" s="15" t="s">
        <v>105</v>
      </c>
      <c r="C16" s="4"/>
      <c r="D16" s="4" t="s">
        <v>80</v>
      </c>
      <c r="E16" s="8">
        <v>2</v>
      </c>
      <c r="F16" s="10">
        <v>2000</v>
      </c>
      <c r="G16" s="8">
        <v>1.7</v>
      </c>
      <c r="H16" s="10">
        <v>1700</v>
      </c>
      <c r="I16" s="6">
        <v>2.5</v>
      </c>
      <c r="J16" s="10">
        <v>2500</v>
      </c>
      <c r="K16" s="8">
        <v>8.2020997375328086</v>
      </c>
      <c r="L16" s="6">
        <v>3.4</v>
      </c>
      <c r="M16" s="6">
        <v>36.583999999999996</v>
      </c>
      <c r="N16" s="6">
        <v>300.06561679790025</v>
      </c>
      <c r="O16" s="3">
        <v>77</v>
      </c>
      <c r="P16" s="3">
        <v>55</v>
      </c>
      <c r="Q16" s="3">
        <v>10</v>
      </c>
      <c r="R16" s="3" t="s">
        <v>113</v>
      </c>
      <c r="S16" s="3">
        <v>1</v>
      </c>
      <c r="T16" s="3">
        <v>0</v>
      </c>
      <c r="U16" s="3">
        <v>1.2</v>
      </c>
      <c r="V16" s="3">
        <v>0</v>
      </c>
      <c r="W16" s="3">
        <v>30</v>
      </c>
      <c r="X16" s="10">
        <v>149.99440000000001</v>
      </c>
      <c r="Y16" s="3" t="s">
        <v>126</v>
      </c>
      <c r="Z16" s="3" t="s">
        <v>116</v>
      </c>
      <c r="AA16" s="3" t="s">
        <v>126</v>
      </c>
      <c r="AB16" s="3" t="s">
        <v>127</v>
      </c>
      <c r="AC16" s="3" t="s">
        <v>138</v>
      </c>
      <c r="AD16" s="10">
        <v>81.041575265700487</v>
      </c>
      <c r="AE16" s="10">
        <v>149.99440000000001</v>
      </c>
      <c r="AF16" s="10">
        <v>30</v>
      </c>
      <c r="AG16" s="3">
        <v>106</v>
      </c>
      <c r="AH16" s="3">
        <v>106</v>
      </c>
      <c r="AI16" s="3">
        <v>0</v>
      </c>
      <c r="AJ16" s="3">
        <v>0</v>
      </c>
      <c r="AK16" s="10">
        <f t="shared" ref="AK16:AK40" si="0">AE16+AG16-AH16</f>
        <v>149.99440000000001</v>
      </c>
      <c r="AL16" s="3"/>
      <c r="AM16" s="3" t="s">
        <v>129</v>
      </c>
      <c r="AN16" s="3" t="s">
        <v>130</v>
      </c>
      <c r="AO16" s="3"/>
      <c r="AP16" s="6">
        <v>0.24227969366693336</v>
      </c>
      <c r="AQ16" s="6">
        <v>0.56071429346556001</v>
      </c>
      <c r="AR16" s="3"/>
      <c r="AS16" s="3"/>
      <c r="AT16" s="3"/>
      <c r="AU16" s="3"/>
      <c r="AV16" s="3">
        <v>1</v>
      </c>
      <c r="AW16" s="3"/>
      <c r="AX16" s="3"/>
      <c r="AY16" s="3">
        <v>1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</row>
    <row r="17" spans="1:63" x14ac:dyDescent="0.3">
      <c r="A17" s="3">
        <v>5</v>
      </c>
      <c r="B17" s="15" t="s">
        <v>105</v>
      </c>
      <c r="C17" s="4"/>
      <c r="D17" s="4" t="s">
        <v>81</v>
      </c>
      <c r="E17" s="8">
        <v>2</v>
      </c>
      <c r="F17" s="10">
        <v>2000</v>
      </c>
      <c r="G17" s="8">
        <v>2</v>
      </c>
      <c r="H17" s="10">
        <v>2000</v>
      </c>
      <c r="I17" s="6">
        <v>2.5</v>
      </c>
      <c r="J17" s="10">
        <v>2500</v>
      </c>
      <c r="K17" s="8">
        <v>8.2020997375328086</v>
      </c>
      <c r="L17" s="6">
        <v>4</v>
      </c>
      <c r="M17" s="6">
        <v>43.04</v>
      </c>
      <c r="N17" s="6">
        <v>353.01837270341207</v>
      </c>
      <c r="O17" s="3">
        <v>77</v>
      </c>
      <c r="P17" s="3">
        <v>55</v>
      </c>
      <c r="Q17" s="3">
        <v>20</v>
      </c>
      <c r="R17" s="3" t="s">
        <v>113</v>
      </c>
      <c r="S17" s="3">
        <v>1</v>
      </c>
      <c r="T17" s="3">
        <v>0</v>
      </c>
      <c r="U17" s="3">
        <v>1.2</v>
      </c>
      <c r="V17" s="3">
        <v>0</v>
      </c>
      <c r="W17" s="3">
        <v>30</v>
      </c>
      <c r="X17" s="10">
        <v>176.464</v>
      </c>
      <c r="Y17" s="3" t="s">
        <v>126</v>
      </c>
      <c r="Z17" s="3" t="s">
        <v>116</v>
      </c>
      <c r="AA17" s="3" t="s">
        <v>126</v>
      </c>
      <c r="AB17" s="3" t="s">
        <v>127</v>
      </c>
      <c r="AC17" s="3" t="s">
        <v>138</v>
      </c>
      <c r="AD17" s="10">
        <v>87.251810628019328</v>
      </c>
      <c r="AE17" s="10">
        <v>176.464</v>
      </c>
      <c r="AF17" s="10">
        <v>30</v>
      </c>
      <c r="AG17" s="3">
        <v>106</v>
      </c>
      <c r="AH17" s="3">
        <v>106</v>
      </c>
      <c r="AI17" s="3">
        <v>0</v>
      </c>
      <c r="AJ17" s="3">
        <v>0</v>
      </c>
      <c r="AK17" s="10">
        <f t="shared" si="0"/>
        <v>176.464</v>
      </c>
      <c r="AL17" s="3"/>
      <c r="AM17" s="3" t="s">
        <v>129</v>
      </c>
      <c r="AN17" s="3" t="s">
        <v>130</v>
      </c>
      <c r="AO17" s="3"/>
      <c r="AP17" s="6">
        <v>0.25401433704933335</v>
      </c>
      <c r="AQ17" s="6">
        <v>0.58506298587360006</v>
      </c>
      <c r="AR17" s="3"/>
      <c r="AS17" s="3"/>
      <c r="AT17" s="3"/>
      <c r="AU17" s="3"/>
      <c r="AV17" s="3">
        <v>1</v>
      </c>
      <c r="AW17" s="3"/>
      <c r="AX17" s="3"/>
      <c r="AY17" s="3">
        <v>1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x14ac:dyDescent="0.3">
      <c r="A18" s="3">
        <v>6</v>
      </c>
      <c r="B18" s="15" t="s">
        <v>105</v>
      </c>
      <c r="C18" s="4"/>
      <c r="D18" s="4" t="s">
        <v>82</v>
      </c>
      <c r="E18" s="8">
        <v>8.1999999999999993</v>
      </c>
      <c r="F18" s="10">
        <v>8200</v>
      </c>
      <c r="G18" s="8">
        <v>2</v>
      </c>
      <c r="H18" s="10">
        <v>2000</v>
      </c>
      <c r="I18" s="6">
        <v>2.5</v>
      </c>
      <c r="J18" s="10">
        <v>2500</v>
      </c>
      <c r="K18" s="8">
        <v>8.2020997375328086</v>
      </c>
      <c r="L18" s="6">
        <v>16.399999999999999</v>
      </c>
      <c r="M18" s="6">
        <v>176.46399999999997</v>
      </c>
      <c r="N18" s="6">
        <v>1447.3753280839892</v>
      </c>
      <c r="O18" s="3">
        <v>77</v>
      </c>
      <c r="P18" s="3">
        <v>55</v>
      </c>
      <c r="Q18" s="3">
        <v>30</v>
      </c>
      <c r="R18" s="3" t="s">
        <v>113</v>
      </c>
      <c r="S18" s="3">
        <v>1</v>
      </c>
      <c r="T18" s="3">
        <v>0</v>
      </c>
      <c r="U18" s="3">
        <v>1.2</v>
      </c>
      <c r="V18" s="3">
        <v>0</v>
      </c>
      <c r="W18" s="3">
        <v>30</v>
      </c>
      <c r="X18" s="10">
        <v>723.50239999999985</v>
      </c>
      <c r="Y18" s="3" t="s">
        <v>126</v>
      </c>
      <c r="Z18" s="3" t="s">
        <v>116</v>
      </c>
      <c r="AA18" s="3" t="s">
        <v>126</v>
      </c>
      <c r="AB18" s="3" t="s">
        <v>127</v>
      </c>
      <c r="AC18" s="3" t="s">
        <v>138</v>
      </c>
      <c r="AD18" s="10">
        <v>232.74672865700481</v>
      </c>
      <c r="AE18" s="10">
        <v>723.50239999999985</v>
      </c>
      <c r="AF18" s="10">
        <v>30</v>
      </c>
      <c r="AG18" s="3">
        <f>115</f>
        <v>115</v>
      </c>
      <c r="AH18" s="3">
        <f>132+132+106+106+115</f>
        <v>591</v>
      </c>
      <c r="AI18" s="3">
        <v>0</v>
      </c>
      <c r="AJ18" s="3">
        <v>0</v>
      </c>
      <c r="AK18" s="10">
        <f t="shared" si="0"/>
        <v>247.50239999999985</v>
      </c>
      <c r="AL18" s="3"/>
      <c r="AM18" s="3" t="s">
        <v>129</v>
      </c>
      <c r="AN18" s="3" t="s">
        <v>130</v>
      </c>
      <c r="AO18" s="3"/>
      <c r="AP18" s="6">
        <v>0.56312894881107733</v>
      </c>
      <c r="AQ18" s="6">
        <v>1.3452025372349987</v>
      </c>
      <c r="AR18" s="3"/>
      <c r="AS18" s="3"/>
      <c r="AT18" s="3"/>
      <c r="AU18" s="3">
        <v>2</v>
      </c>
      <c r="AV18" s="3"/>
      <c r="AW18" s="3"/>
      <c r="AX18" s="3">
        <v>2</v>
      </c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pans="1:63" x14ac:dyDescent="0.3">
      <c r="A19" s="3">
        <v>7</v>
      </c>
      <c r="B19" s="15" t="s">
        <v>105</v>
      </c>
      <c r="C19" s="4"/>
      <c r="D19" s="4" t="s">
        <v>83</v>
      </c>
      <c r="E19" s="8">
        <v>3.3</v>
      </c>
      <c r="F19" s="10">
        <v>3300</v>
      </c>
      <c r="G19" s="8">
        <v>1.55</v>
      </c>
      <c r="H19" s="10">
        <v>1550</v>
      </c>
      <c r="I19" s="6">
        <v>2.5</v>
      </c>
      <c r="J19" s="10">
        <v>2500</v>
      </c>
      <c r="K19" s="8">
        <v>8.2020997375328086</v>
      </c>
      <c r="L19" s="6">
        <v>5.1150000000000002</v>
      </c>
      <c r="M19" s="6">
        <v>55.037399999999998</v>
      </c>
      <c r="N19" s="6">
        <v>451.42224409448818</v>
      </c>
      <c r="O19" s="3">
        <v>77</v>
      </c>
      <c r="P19" s="3">
        <v>55</v>
      </c>
      <c r="Q19" s="3">
        <v>30</v>
      </c>
      <c r="R19" s="3" t="s">
        <v>113</v>
      </c>
      <c r="S19" s="3">
        <v>1</v>
      </c>
      <c r="T19" s="3">
        <v>0</v>
      </c>
      <c r="U19" s="3">
        <v>1.2</v>
      </c>
      <c r="V19" s="3">
        <v>0</v>
      </c>
      <c r="W19" s="3">
        <v>30</v>
      </c>
      <c r="X19" s="10">
        <v>225.65333999999999</v>
      </c>
      <c r="Y19" s="3" t="s">
        <v>126</v>
      </c>
      <c r="Z19" s="3" t="s">
        <v>116</v>
      </c>
      <c r="AA19" s="3" t="s">
        <v>126</v>
      </c>
      <c r="AB19" s="3" t="s">
        <v>127</v>
      </c>
      <c r="AC19" s="3" t="s">
        <v>138</v>
      </c>
      <c r="AD19" s="10">
        <v>98.792498009661841</v>
      </c>
      <c r="AE19" s="10">
        <v>225.65333999999999</v>
      </c>
      <c r="AF19" s="10">
        <v>30</v>
      </c>
      <c r="AG19" s="3">
        <v>0</v>
      </c>
      <c r="AH19" s="3">
        <v>0</v>
      </c>
      <c r="AI19" s="3">
        <v>0</v>
      </c>
      <c r="AJ19" s="3">
        <v>0</v>
      </c>
      <c r="AK19" s="10">
        <f t="shared" si="0"/>
        <v>225.65333999999999</v>
      </c>
      <c r="AL19" s="3"/>
      <c r="AM19" s="3" t="s">
        <v>129</v>
      </c>
      <c r="AN19" s="3" t="s">
        <v>130</v>
      </c>
      <c r="AO19" s="3"/>
      <c r="AP19" s="6">
        <v>0.27582121600162662</v>
      </c>
      <c r="AQ19" s="6">
        <v>0.63031097259854096</v>
      </c>
      <c r="AR19" s="3"/>
      <c r="AS19" s="3"/>
      <c r="AT19" s="3"/>
      <c r="AU19" s="3">
        <v>2</v>
      </c>
      <c r="AV19" s="3"/>
      <c r="AW19" s="3"/>
      <c r="AX19" s="3">
        <v>2</v>
      </c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 x14ac:dyDescent="0.3">
      <c r="A20" s="3">
        <v>8</v>
      </c>
      <c r="B20" s="15" t="s">
        <v>105</v>
      </c>
      <c r="C20" s="4"/>
      <c r="D20" s="4" t="s">
        <v>145</v>
      </c>
      <c r="E20" s="8">
        <v>1.5</v>
      </c>
      <c r="F20" s="10">
        <v>1500</v>
      </c>
      <c r="G20" s="8">
        <v>3</v>
      </c>
      <c r="H20" s="10">
        <v>3000</v>
      </c>
      <c r="I20" s="6">
        <v>2.5</v>
      </c>
      <c r="J20" s="10">
        <v>2500</v>
      </c>
      <c r="K20" s="8">
        <v>8.2020997375328086</v>
      </c>
      <c r="L20" s="6">
        <v>4.5</v>
      </c>
      <c r="M20" s="6">
        <v>48.42</v>
      </c>
      <c r="N20" s="6">
        <v>397.14566929133861</v>
      </c>
      <c r="O20" s="3">
        <v>77</v>
      </c>
      <c r="P20" s="3">
        <v>55</v>
      </c>
      <c r="Q20" s="3">
        <v>20</v>
      </c>
      <c r="R20" s="3" t="s">
        <v>113</v>
      </c>
      <c r="S20" s="3">
        <v>1</v>
      </c>
      <c r="T20" s="3">
        <v>0</v>
      </c>
      <c r="U20" s="3">
        <v>1.2</v>
      </c>
      <c r="V20" s="3">
        <v>0</v>
      </c>
      <c r="W20" s="3">
        <v>30</v>
      </c>
      <c r="X20" s="10">
        <v>198.52199999999999</v>
      </c>
      <c r="Y20" s="3" t="s">
        <v>126</v>
      </c>
      <c r="Z20" s="3" t="s">
        <v>116</v>
      </c>
      <c r="AA20" s="3" t="s">
        <v>126</v>
      </c>
      <c r="AB20" s="3" t="s">
        <v>127</v>
      </c>
      <c r="AC20" s="3" t="s">
        <v>138</v>
      </c>
      <c r="AD20" s="10">
        <v>92.427006763285021</v>
      </c>
      <c r="AE20" s="10">
        <v>198.52199999999999</v>
      </c>
      <c r="AF20" s="10">
        <v>30</v>
      </c>
      <c r="AG20" s="3">
        <v>0</v>
      </c>
      <c r="AH20" s="3">
        <v>0</v>
      </c>
      <c r="AI20" s="3">
        <v>0</v>
      </c>
      <c r="AJ20" s="3">
        <v>0</v>
      </c>
      <c r="AK20" s="10">
        <f t="shared" si="0"/>
        <v>198.52199999999999</v>
      </c>
      <c r="AL20" s="3"/>
      <c r="AM20" s="3" t="s">
        <v>129</v>
      </c>
      <c r="AN20" s="3" t="s">
        <v>130</v>
      </c>
      <c r="AO20" s="3"/>
      <c r="AP20" s="6">
        <v>0.2637932065346667</v>
      </c>
      <c r="AQ20" s="6">
        <v>0.60535356288029996</v>
      </c>
      <c r="AR20" s="3"/>
      <c r="AS20" s="3"/>
      <c r="AT20" s="3"/>
      <c r="AU20" s="3"/>
      <c r="AV20" s="3">
        <v>1</v>
      </c>
      <c r="AW20" s="3"/>
      <c r="AX20" s="3"/>
      <c r="AY20" s="3">
        <v>1</v>
      </c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</row>
    <row r="21" spans="1:63" x14ac:dyDescent="0.3">
      <c r="A21" s="3">
        <v>9</v>
      </c>
      <c r="B21" s="15" t="s">
        <v>105</v>
      </c>
      <c r="C21" s="4"/>
      <c r="D21" s="4" t="s">
        <v>78</v>
      </c>
      <c r="E21" s="8">
        <v>2.2000000000000002</v>
      </c>
      <c r="F21" s="10">
        <v>2200</v>
      </c>
      <c r="G21" s="8">
        <v>2</v>
      </c>
      <c r="H21" s="10">
        <v>2000</v>
      </c>
      <c r="I21" s="6">
        <v>2.5</v>
      </c>
      <c r="J21" s="10">
        <v>2500</v>
      </c>
      <c r="K21" s="8">
        <v>8.2020997375328086</v>
      </c>
      <c r="L21" s="6">
        <v>4.4000000000000004</v>
      </c>
      <c r="M21" s="6">
        <v>47.344000000000001</v>
      </c>
      <c r="N21" s="6">
        <v>388.32020997375332</v>
      </c>
      <c r="O21" s="3">
        <v>77</v>
      </c>
      <c r="P21" s="3">
        <v>55</v>
      </c>
      <c r="Q21" s="3">
        <v>20</v>
      </c>
      <c r="R21" s="3" t="s">
        <v>113</v>
      </c>
      <c r="S21" s="3">
        <v>1</v>
      </c>
      <c r="T21" s="3">
        <v>0</v>
      </c>
      <c r="U21" s="3">
        <v>1.2</v>
      </c>
      <c r="V21" s="3">
        <v>0</v>
      </c>
      <c r="W21" s="3">
        <v>25</v>
      </c>
      <c r="X21" s="10">
        <v>161.75866666666667</v>
      </c>
      <c r="Y21" s="3" t="s">
        <v>126</v>
      </c>
      <c r="Z21" s="3" t="s">
        <v>116</v>
      </c>
      <c r="AA21" s="3" t="s">
        <v>126</v>
      </c>
      <c r="AB21" s="3" t="s">
        <v>127</v>
      </c>
      <c r="AC21" s="3" t="s">
        <v>138</v>
      </c>
      <c r="AD21" s="10">
        <v>91.391967536231874</v>
      </c>
      <c r="AE21" s="10">
        <v>161.75866666666667</v>
      </c>
      <c r="AF21" s="10">
        <v>30</v>
      </c>
      <c r="AG21" s="3">
        <v>0</v>
      </c>
      <c r="AH21" s="3">
        <v>160</v>
      </c>
      <c r="AI21" s="3">
        <v>0</v>
      </c>
      <c r="AJ21" s="3">
        <v>0</v>
      </c>
      <c r="AK21" s="10">
        <f t="shared" si="0"/>
        <v>1.7586666666666702</v>
      </c>
      <c r="AL21" s="3"/>
      <c r="AM21" s="3" t="s">
        <v>129</v>
      </c>
      <c r="AN21" s="3" t="s">
        <v>130</v>
      </c>
      <c r="AO21" s="3"/>
      <c r="AP21" s="6">
        <v>0.26183743263759995</v>
      </c>
      <c r="AQ21" s="6">
        <v>0.60129544747896002</v>
      </c>
      <c r="AR21" s="3"/>
      <c r="AS21" s="3"/>
      <c r="AT21" s="3"/>
      <c r="AU21" s="3"/>
      <c r="AV21" s="3">
        <v>1</v>
      </c>
      <c r="AW21" s="3"/>
      <c r="AX21" s="3"/>
      <c r="AY21" s="3">
        <v>1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</row>
    <row r="22" spans="1:63" x14ac:dyDescent="0.3">
      <c r="A22" s="3">
        <v>10</v>
      </c>
      <c r="B22" s="15" t="s">
        <v>105</v>
      </c>
      <c r="C22" s="4"/>
      <c r="D22" s="4" t="s">
        <v>79</v>
      </c>
      <c r="E22" s="8">
        <v>2.2000000000000002</v>
      </c>
      <c r="F22" s="10">
        <v>2200</v>
      </c>
      <c r="G22" s="8">
        <v>2</v>
      </c>
      <c r="H22" s="10">
        <v>2000</v>
      </c>
      <c r="I22" s="6">
        <v>2.5</v>
      </c>
      <c r="J22" s="10">
        <v>2500</v>
      </c>
      <c r="K22" s="8">
        <v>8.2020997375328086</v>
      </c>
      <c r="L22" s="6">
        <v>4.4000000000000004</v>
      </c>
      <c r="M22" s="6">
        <v>47.344000000000001</v>
      </c>
      <c r="N22" s="6">
        <v>388.32020997375332</v>
      </c>
      <c r="O22" s="3">
        <v>77</v>
      </c>
      <c r="P22" s="3">
        <v>55</v>
      </c>
      <c r="Q22" s="3">
        <v>10</v>
      </c>
      <c r="R22" s="3" t="s">
        <v>113</v>
      </c>
      <c r="S22" s="3">
        <v>1</v>
      </c>
      <c r="T22" s="3">
        <v>0</v>
      </c>
      <c r="U22" s="3">
        <v>1.2</v>
      </c>
      <c r="V22" s="3">
        <v>0</v>
      </c>
      <c r="W22" s="3">
        <v>30</v>
      </c>
      <c r="X22" s="10">
        <v>194.1104</v>
      </c>
      <c r="Y22" s="3" t="s">
        <v>126</v>
      </c>
      <c r="Z22" s="3" t="s">
        <v>116</v>
      </c>
      <c r="AA22" s="3" t="s">
        <v>126</v>
      </c>
      <c r="AB22" s="3" t="s">
        <v>127</v>
      </c>
      <c r="AC22" s="3" t="s">
        <v>138</v>
      </c>
      <c r="AD22" s="10">
        <v>91.391967536231874</v>
      </c>
      <c r="AE22" s="10">
        <v>194.1104</v>
      </c>
      <c r="AF22" s="10">
        <v>30</v>
      </c>
      <c r="AG22" s="3">
        <v>0</v>
      </c>
      <c r="AH22" s="3">
        <v>160</v>
      </c>
      <c r="AI22" s="3">
        <v>0</v>
      </c>
      <c r="AJ22" s="3">
        <v>0</v>
      </c>
      <c r="AK22" s="10">
        <f t="shared" si="0"/>
        <v>34.110399999999998</v>
      </c>
      <c r="AL22" s="3"/>
      <c r="AM22" s="3" t="s">
        <v>129</v>
      </c>
      <c r="AN22" s="3" t="s">
        <v>130</v>
      </c>
      <c r="AO22" s="3"/>
      <c r="AP22" s="6">
        <v>0.26183743263759995</v>
      </c>
      <c r="AQ22" s="6">
        <v>0.60129544747896002</v>
      </c>
      <c r="AR22" s="3"/>
      <c r="AS22" s="3"/>
      <c r="AT22" s="3"/>
      <c r="AU22" s="3"/>
      <c r="AV22" s="3">
        <v>1</v>
      </c>
      <c r="AW22" s="3"/>
      <c r="AX22" s="3"/>
      <c r="AY22" s="3">
        <v>1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 s="30" customFormat="1" x14ac:dyDescent="0.3">
      <c r="A23" s="25"/>
      <c r="B23" s="26"/>
      <c r="C23" s="27"/>
      <c r="D23" s="27"/>
      <c r="E23" s="28"/>
      <c r="F23" s="24"/>
      <c r="G23" s="28"/>
      <c r="H23" s="24"/>
      <c r="I23" s="29"/>
      <c r="J23" s="24"/>
      <c r="K23" s="28"/>
      <c r="L23" s="29"/>
      <c r="M23" s="29"/>
      <c r="N23" s="29"/>
      <c r="O23" s="25"/>
      <c r="P23" s="25"/>
      <c r="Q23" s="25"/>
      <c r="R23" s="25"/>
      <c r="S23" s="25"/>
      <c r="T23" s="25"/>
      <c r="U23" s="25"/>
      <c r="V23" s="25"/>
      <c r="W23" s="25"/>
      <c r="X23" s="24">
        <f>SUM(X16:X22)</f>
        <v>1830.0052066666665</v>
      </c>
      <c r="Y23" s="25"/>
      <c r="Z23" s="25"/>
      <c r="AA23" s="25"/>
      <c r="AB23" s="25"/>
      <c r="AC23" s="25"/>
      <c r="AD23" s="24">
        <f>SUM(AD16:AD22)</f>
        <v>775.04355439613516</v>
      </c>
      <c r="AE23" s="24">
        <f t="shared" ref="AE23" si="1">SUM(AE16:AE22)</f>
        <v>1830.0052066666665</v>
      </c>
      <c r="AF23" s="24">
        <f>SUM(AF16:AF22)+586</f>
        <v>796</v>
      </c>
      <c r="AG23" s="25"/>
      <c r="AH23" s="25"/>
      <c r="AI23" s="25"/>
      <c r="AJ23" s="25"/>
      <c r="AK23" s="24">
        <f>SUM(AK16:AK22)</f>
        <v>1034.0052066666665</v>
      </c>
      <c r="AL23" s="31">
        <f>AK23+AF23-AE23</f>
        <v>0</v>
      </c>
      <c r="AM23" s="25"/>
      <c r="AN23" s="25"/>
      <c r="AO23" s="25">
        <v>2500</v>
      </c>
      <c r="AP23" s="29">
        <f>SUM(AP16:AP22)</f>
        <v>2.1227122673388372</v>
      </c>
      <c r="AQ23" s="29">
        <f>SUM(AQ16:AQ22)</f>
        <v>4.9292352470109195</v>
      </c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</row>
    <row r="24" spans="1:63" s="40" customFormat="1" x14ac:dyDescent="0.3">
      <c r="A24" s="23">
        <v>11</v>
      </c>
      <c r="B24" s="41" t="s">
        <v>104</v>
      </c>
      <c r="C24" s="36"/>
      <c r="D24" s="36" t="s">
        <v>86</v>
      </c>
      <c r="E24" s="37">
        <v>1.2</v>
      </c>
      <c r="F24" s="38">
        <v>1200</v>
      </c>
      <c r="G24" s="37">
        <v>2.25</v>
      </c>
      <c r="H24" s="38">
        <v>2250</v>
      </c>
      <c r="I24" s="39">
        <v>2.5</v>
      </c>
      <c r="J24" s="38">
        <v>2500</v>
      </c>
      <c r="K24" s="37">
        <v>8.2020997375328086</v>
      </c>
      <c r="L24" s="39">
        <v>2.6999999999999997</v>
      </c>
      <c r="M24" s="39">
        <v>29.051999999999996</v>
      </c>
      <c r="N24" s="39">
        <v>238.28740157480311</v>
      </c>
      <c r="O24" s="23">
        <v>77</v>
      </c>
      <c r="P24" s="23">
        <v>55</v>
      </c>
      <c r="Q24" s="23">
        <v>20</v>
      </c>
      <c r="R24" s="23" t="s">
        <v>113</v>
      </c>
      <c r="S24" s="23">
        <v>1</v>
      </c>
      <c r="T24" s="23">
        <v>0</v>
      </c>
      <c r="U24" s="23">
        <v>1.2</v>
      </c>
      <c r="V24" s="23">
        <v>0</v>
      </c>
      <c r="W24" s="23">
        <v>30</v>
      </c>
      <c r="X24" s="38">
        <v>119.11319999999999</v>
      </c>
      <c r="Y24" s="23" t="s">
        <v>126</v>
      </c>
      <c r="Z24" s="23" t="s">
        <v>116</v>
      </c>
      <c r="AA24" s="23" t="s">
        <v>126</v>
      </c>
      <c r="AB24" s="23" t="s">
        <v>127</v>
      </c>
      <c r="AC24" s="23" t="s">
        <v>138</v>
      </c>
      <c r="AD24" s="38">
        <v>73.796300676328499</v>
      </c>
      <c r="AE24" s="38">
        <v>119.11319999999999</v>
      </c>
      <c r="AF24" s="38">
        <v>15</v>
      </c>
      <c r="AG24" s="23">
        <v>106</v>
      </c>
      <c r="AH24" s="23">
        <v>106</v>
      </c>
      <c r="AI24" s="23">
        <v>0</v>
      </c>
      <c r="AJ24" s="23">
        <v>0</v>
      </c>
      <c r="AK24" s="38">
        <f t="shared" si="0"/>
        <v>119.11320000000001</v>
      </c>
      <c r="AL24" s="23"/>
      <c r="AM24" s="23" t="s">
        <v>129</v>
      </c>
      <c r="AN24" s="23" t="s">
        <v>130</v>
      </c>
      <c r="AO24" s="23"/>
      <c r="AP24" s="39">
        <v>0.22858927638746665</v>
      </c>
      <c r="AQ24" s="39">
        <v>0.53230748565618002</v>
      </c>
      <c r="AR24" s="23"/>
      <c r="AS24" s="23"/>
      <c r="AT24" s="23"/>
      <c r="AU24" s="23"/>
      <c r="AV24" s="23">
        <v>1</v>
      </c>
      <c r="AW24" s="23"/>
      <c r="AX24" s="23"/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</row>
    <row r="25" spans="1:63" s="40" customFormat="1" x14ac:dyDescent="0.3">
      <c r="A25" s="23">
        <v>12</v>
      </c>
      <c r="B25" s="41" t="s">
        <v>104</v>
      </c>
      <c r="C25" s="36"/>
      <c r="D25" s="36" t="s">
        <v>87</v>
      </c>
      <c r="E25" s="37">
        <v>1.75</v>
      </c>
      <c r="F25" s="38">
        <v>1750</v>
      </c>
      <c r="G25" s="37">
        <v>3</v>
      </c>
      <c r="H25" s="38">
        <v>3000</v>
      </c>
      <c r="I25" s="39">
        <v>2.5</v>
      </c>
      <c r="J25" s="38">
        <v>2500</v>
      </c>
      <c r="K25" s="37">
        <v>8.2020997375328086</v>
      </c>
      <c r="L25" s="39">
        <v>5.25</v>
      </c>
      <c r="M25" s="39">
        <v>56.49</v>
      </c>
      <c r="N25" s="39">
        <v>463.33661417322838</v>
      </c>
      <c r="O25" s="23">
        <v>77</v>
      </c>
      <c r="P25" s="23">
        <v>55</v>
      </c>
      <c r="Q25" s="23">
        <v>20</v>
      </c>
      <c r="R25" s="23" t="s">
        <v>113</v>
      </c>
      <c r="S25" s="23">
        <v>1</v>
      </c>
      <c r="T25" s="23">
        <v>0</v>
      </c>
      <c r="U25" s="23">
        <v>1.2</v>
      </c>
      <c r="V25" s="23">
        <v>0</v>
      </c>
      <c r="W25" s="23">
        <v>30</v>
      </c>
      <c r="X25" s="38">
        <v>231.60900000000001</v>
      </c>
      <c r="Y25" s="23" t="s">
        <v>126</v>
      </c>
      <c r="Z25" s="23" t="s">
        <v>116</v>
      </c>
      <c r="AA25" s="23" t="s">
        <v>126</v>
      </c>
      <c r="AB25" s="23" t="s">
        <v>127</v>
      </c>
      <c r="AC25" s="23" t="s">
        <v>138</v>
      </c>
      <c r="AD25" s="38">
        <v>100.18980096618357</v>
      </c>
      <c r="AE25" s="38">
        <v>231.60900000000001</v>
      </c>
      <c r="AF25" s="38">
        <v>15</v>
      </c>
      <c r="AG25" s="23">
        <v>115</v>
      </c>
      <c r="AH25" s="23">
        <v>115</v>
      </c>
      <c r="AI25" s="23">
        <v>0</v>
      </c>
      <c r="AJ25" s="23">
        <v>0</v>
      </c>
      <c r="AK25" s="38">
        <f t="shared" si="0"/>
        <v>231.60900000000004</v>
      </c>
      <c r="AL25" s="23"/>
      <c r="AM25" s="23" t="s">
        <v>129</v>
      </c>
      <c r="AN25" s="23" t="s">
        <v>130</v>
      </c>
      <c r="AO25" s="23"/>
      <c r="AP25" s="39">
        <v>0.27846151076266668</v>
      </c>
      <c r="AQ25" s="39">
        <v>0.63578942839035002</v>
      </c>
      <c r="AR25" s="23"/>
      <c r="AS25" s="23"/>
      <c r="AT25" s="23"/>
      <c r="AU25" s="23"/>
      <c r="AV25" s="23">
        <v>1</v>
      </c>
      <c r="AW25" s="23"/>
      <c r="AX25" s="23"/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</row>
    <row r="26" spans="1:63" s="40" customFormat="1" x14ac:dyDescent="0.3">
      <c r="A26" s="23">
        <v>13</v>
      </c>
      <c r="B26" s="41" t="s">
        <v>104</v>
      </c>
      <c r="C26" s="36"/>
      <c r="D26" s="36" t="s">
        <v>88</v>
      </c>
      <c r="E26" s="37">
        <v>4.0999999999999996</v>
      </c>
      <c r="F26" s="38">
        <v>4100</v>
      </c>
      <c r="G26" s="37">
        <v>1.8</v>
      </c>
      <c r="H26" s="38">
        <v>1800</v>
      </c>
      <c r="I26" s="39">
        <v>2.5</v>
      </c>
      <c r="J26" s="38">
        <v>2500</v>
      </c>
      <c r="K26" s="37">
        <v>8.2020997375328086</v>
      </c>
      <c r="L26" s="39">
        <v>7.38</v>
      </c>
      <c r="M26" s="39">
        <v>79.408799999999999</v>
      </c>
      <c r="N26" s="39">
        <v>651.31889763779532</v>
      </c>
      <c r="O26" s="23">
        <v>77</v>
      </c>
      <c r="P26" s="23">
        <v>55</v>
      </c>
      <c r="Q26" s="23">
        <v>10</v>
      </c>
      <c r="R26" s="23" t="s">
        <v>113</v>
      </c>
      <c r="S26" s="23">
        <v>1</v>
      </c>
      <c r="T26" s="23">
        <v>2</v>
      </c>
      <c r="U26" s="23">
        <v>1.2</v>
      </c>
      <c r="V26" s="23">
        <v>0</v>
      </c>
      <c r="W26" s="23">
        <v>30</v>
      </c>
      <c r="X26" s="38">
        <v>325.57607999999993</v>
      </c>
      <c r="Y26" s="23" t="s">
        <v>126</v>
      </c>
      <c r="Z26" s="23" t="s">
        <v>116</v>
      </c>
      <c r="AA26" s="23" t="s">
        <v>126</v>
      </c>
      <c r="AB26" s="23" t="s">
        <v>127</v>
      </c>
      <c r="AC26" s="23" t="s">
        <v>138</v>
      </c>
      <c r="AD26" s="38">
        <v>451.70473553623174</v>
      </c>
      <c r="AE26" s="38">
        <v>451.70473553623174</v>
      </c>
      <c r="AF26" s="38">
        <v>15</v>
      </c>
      <c r="AG26" s="23">
        <f>115+115+106</f>
        <v>336</v>
      </c>
      <c r="AH26" s="23">
        <v>0</v>
      </c>
      <c r="AI26" s="23">
        <v>0</v>
      </c>
      <c r="AJ26" s="23">
        <v>0</v>
      </c>
      <c r="AK26" s="38">
        <f t="shared" si="0"/>
        <v>787.70473553623174</v>
      </c>
      <c r="AL26" s="23"/>
      <c r="AM26" s="23" t="s">
        <v>129</v>
      </c>
      <c r="AN26" s="23" t="s">
        <v>130</v>
      </c>
      <c r="AO26" s="23"/>
      <c r="AP26" s="39">
        <v>0.94267182810351979</v>
      </c>
      <c r="AQ26" s="39">
        <v>0.722227286438892</v>
      </c>
      <c r="AR26" s="23"/>
      <c r="AS26" s="23"/>
      <c r="AT26" s="23"/>
      <c r="AU26" s="23">
        <v>1</v>
      </c>
      <c r="AV26" s="23"/>
      <c r="AW26" s="23"/>
      <c r="AX26" s="23">
        <v>2</v>
      </c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</row>
    <row r="27" spans="1:63" s="40" customFormat="1" x14ac:dyDescent="0.3">
      <c r="A27" s="23">
        <v>14</v>
      </c>
      <c r="B27" s="41" t="s">
        <v>104</v>
      </c>
      <c r="C27" s="36"/>
      <c r="D27" s="36" t="s">
        <v>89</v>
      </c>
      <c r="E27" s="37">
        <v>2.8</v>
      </c>
      <c r="F27" s="38">
        <v>2800</v>
      </c>
      <c r="G27" s="37">
        <v>2.25</v>
      </c>
      <c r="H27" s="38">
        <v>2250</v>
      </c>
      <c r="I27" s="39">
        <v>2.5</v>
      </c>
      <c r="J27" s="38">
        <v>2500</v>
      </c>
      <c r="K27" s="37">
        <v>8.2020997375328086</v>
      </c>
      <c r="L27" s="39">
        <v>6.3</v>
      </c>
      <c r="M27" s="39">
        <v>67.787999999999997</v>
      </c>
      <c r="N27" s="39">
        <v>556.00393700787401</v>
      </c>
      <c r="O27" s="23">
        <v>77</v>
      </c>
      <c r="P27" s="23">
        <v>55</v>
      </c>
      <c r="Q27" s="23">
        <v>40</v>
      </c>
      <c r="R27" s="23" t="s">
        <v>113</v>
      </c>
      <c r="S27" s="23">
        <v>1</v>
      </c>
      <c r="T27" s="23">
        <v>0</v>
      </c>
      <c r="U27" s="23">
        <v>1.2</v>
      </c>
      <c r="V27" s="23">
        <v>0</v>
      </c>
      <c r="W27" s="23">
        <v>30</v>
      </c>
      <c r="X27" s="38">
        <v>277.93079999999998</v>
      </c>
      <c r="Y27" s="23" t="s">
        <v>126</v>
      </c>
      <c r="Z27" s="23" t="s">
        <v>116</v>
      </c>
      <c r="AA27" s="23" t="s">
        <v>126</v>
      </c>
      <c r="AB27" s="23" t="s">
        <v>127</v>
      </c>
      <c r="AC27" s="23" t="s">
        <v>138</v>
      </c>
      <c r="AD27" s="38">
        <v>111.05771285024153</v>
      </c>
      <c r="AE27" s="38">
        <v>277.93079999999998</v>
      </c>
      <c r="AF27" s="38">
        <v>15</v>
      </c>
      <c r="AG27" s="23">
        <v>0</v>
      </c>
      <c r="AH27" s="23">
        <f>115+115</f>
        <v>230</v>
      </c>
      <c r="AI27" s="23">
        <v>0</v>
      </c>
      <c r="AJ27" s="23">
        <v>0</v>
      </c>
      <c r="AK27" s="38">
        <f t="shared" si="0"/>
        <v>47.930799999999977</v>
      </c>
      <c r="AL27" s="23"/>
      <c r="AM27" s="23" t="s">
        <v>129</v>
      </c>
      <c r="AN27" s="23" t="s">
        <v>130</v>
      </c>
      <c r="AO27" s="23"/>
      <c r="AP27" s="39">
        <v>0.29899713668186662</v>
      </c>
      <c r="AQ27" s="39">
        <v>0.67839964010442011</v>
      </c>
      <c r="AR27" s="23"/>
      <c r="AS27" s="23"/>
      <c r="AT27" s="23"/>
      <c r="AU27" s="23">
        <v>1</v>
      </c>
      <c r="AV27" s="23"/>
      <c r="AW27" s="23"/>
      <c r="AX27" s="23">
        <v>2</v>
      </c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</row>
    <row r="28" spans="1:63" s="30" customFormat="1" x14ac:dyDescent="0.3">
      <c r="A28" s="25"/>
      <c r="B28" s="26"/>
      <c r="C28" s="27"/>
      <c r="D28" s="27"/>
      <c r="E28" s="28"/>
      <c r="F28" s="24"/>
      <c r="G28" s="28"/>
      <c r="H28" s="24"/>
      <c r="I28" s="29"/>
      <c r="J28" s="24"/>
      <c r="K28" s="28"/>
      <c r="L28" s="29"/>
      <c r="M28" s="29"/>
      <c r="N28" s="29"/>
      <c r="O28" s="25"/>
      <c r="P28" s="25"/>
      <c r="Q28" s="25"/>
      <c r="R28" s="25"/>
      <c r="S28" s="25"/>
      <c r="T28" s="25"/>
      <c r="U28" s="25"/>
      <c r="V28" s="25"/>
      <c r="W28" s="25"/>
      <c r="X28" s="24">
        <f>SUM(X24:X27)</f>
        <v>954.22907999999995</v>
      </c>
      <c r="Y28" s="25"/>
      <c r="Z28" s="25"/>
      <c r="AA28" s="25"/>
      <c r="AB28" s="25"/>
      <c r="AC28" s="25"/>
      <c r="AD28" s="24">
        <f t="shared" ref="AD28:AF28" si="2">SUM(AD24:AD27)</f>
        <v>736.74855002898528</v>
      </c>
      <c r="AE28" s="24">
        <f t="shared" si="2"/>
        <v>1080.3577355362318</v>
      </c>
      <c r="AF28" s="24">
        <f t="shared" si="2"/>
        <v>60</v>
      </c>
      <c r="AG28" s="25"/>
      <c r="AH28" s="25"/>
      <c r="AI28" s="25"/>
      <c r="AJ28" s="25"/>
      <c r="AK28" s="24">
        <f>SUM(AK24:AK27)</f>
        <v>1186.3577355362318</v>
      </c>
      <c r="AL28" s="24">
        <f>AK28+AF28-AE28</f>
        <v>166</v>
      </c>
      <c r="AM28" s="25"/>
      <c r="AN28" s="25"/>
      <c r="AO28" s="25">
        <v>1200</v>
      </c>
      <c r="AP28" s="29">
        <f>SUM(AP24:AP27)</f>
        <v>1.7487197519355198</v>
      </c>
      <c r="AQ28" s="29">
        <f>SUM(AQ24:AQ27)</f>
        <v>2.5687238405898425</v>
      </c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</row>
    <row r="29" spans="1:63" x14ac:dyDescent="0.3">
      <c r="A29" s="3">
        <v>15</v>
      </c>
      <c r="B29" s="5" t="s">
        <v>108</v>
      </c>
      <c r="C29" s="4"/>
      <c r="D29" s="4" t="s">
        <v>90</v>
      </c>
      <c r="E29" s="8">
        <v>10.199999999999999</v>
      </c>
      <c r="F29" s="10">
        <v>10200</v>
      </c>
      <c r="G29" s="8">
        <v>5</v>
      </c>
      <c r="H29" s="10">
        <v>5000</v>
      </c>
      <c r="I29" s="6">
        <v>2.5</v>
      </c>
      <c r="J29" s="10">
        <v>2500</v>
      </c>
      <c r="K29" s="8">
        <v>8.2020997375328086</v>
      </c>
      <c r="L29" s="6">
        <v>51</v>
      </c>
      <c r="M29" s="6">
        <v>548.76</v>
      </c>
      <c r="N29" s="6">
        <v>4500.9842519685044</v>
      </c>
      <c r="O29" s="3">
        <v>77</v>
      </c>
      <c r="P29" s="3">
        <v>55</v>
      </c>
      <c r="Q29" s="3">
        <v>0</v>
      </c>
      <c r="R29" s="3" t="s">
        <v>114</v>
      </c>
      <c r="S29" s="3">
        <v>15</v>
      </c>
      <c r="T29" s="3">
        <v>5</v>
      </c>
      <c r="U29" s="3">
        <v>1.2</v>
      </c>
      <c r="V29" s="3">
        <v>0</v>
      </c>
      <c r="W29" s="3">
        <v>20</v>
      </c>
      <c r="X29" s="10">
        <f>W29*N29/60</f>
        <v>1500.3280839895015</v>
      </c>
      <c r="Y29" s="3" t="s">
        <v>126</v>
      </c>
      <c r="Z29" s="3" t="s">
        <v>116</v>
      </c>
      <c r="AA29" s="3" t="s">
        <v>126</v>
      </c>
      <c r="AB29" s="3" t="s">
        <v>127</v>
      </c>
      <c r="AC29" s="3" t="s">
        <v>128</v>
      </c>
      <c r="AD29" s="10">
        <v>2039.2951265700483</v>
      </c>
      <c r="AE29" s="10">
        <v>2039.2951265700483</v>
      </c>
      <c r="AF29" s="10">
        <v>225</v>
      </c>
      <c r="AG29" s="3">
        <v>0</v>
      </c>
      <c r="AH29" s="3">
        <v>225</v>
      </c>
      <c r="AI29" s="3">
        <v>0</v>
      </c>
      <c r="AJ29" s="3">
        <v>0</v>
      </c>
      <c r="AK29" s="10">
        <f t="shared" si="0"/>
        <v>1814.2951265700483</v>
      </c>
      <c r="AL29" s="3"/>
      <c r="AM29" s="3" t="s">
        <v>129</v>
      </c>
      <c r="AN29" s="3" t="s">
        <v>130</v>
      </c>
      <c r="AO29" s="3"/>
      <c r="AP29" s="6">
        <v>5.1905762383373339</v>
      </c>
      <c r="AQ29" s="6">
        <v>8.4107144019834017</v>
      </c>
      <c r="AR29" s="3"/>
      <c r="AS29" s="3"/>
      <c r="AT29" s="3"/>
      <c r="AU29" s="3"/>
      <c r="AV29" s="3"/>
      <c r="AW29" s="3"/>
      <c r="AX29" s="3">
        <v>6</v>
      </c>
      <c r="AY29" s="3"/>
      <c r="AZ29" s="3"/>
      <c r="BA29" s="3">
        <v>6</v>
      </c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 s="30" customFormat="1" x14ac:dyDescent="0.3">
      <c r="A30" s="25"/>
      <c r="B30" s="26"/>
      <c r="C30" s="27"/>
      <c r="D30" s="27"/>
      <c r="E30" s="28"/>
      <c r="F30" s="24"/>
      <c r="G30" s="28"/>
      <c r="H30" s="24"/>
      <c r="I30" s="29"/>
      <c r="J30" s="24"/>
      <c r="K30" s="28"/>
      <c r="L30" s="29"/>
      <c r="M30" s="29"/>
      <c r="N30" s="29"/>
      <c r="O30" s="25"/>
      <c r="P30" s="25"/>
      <c r="Q30" s="25"/>
      <c r="R30" s="25"/>
      <c r="S30" s="25"/>
      <c r="T30" s="25"/>
      <c r="U30" s="25"/>
      <c r="V30" s="25"/>
      <c r="W30" s="25"/>
      <c r="X30" s="24">
        <f>SUM(X29)</f>
        <v>1500.3280839895015</v>
      </c>
      <c r="Y30" s="25"/>
      <c r="Z30" s="25"/>
      <c r="AA30" s="25"/>
      <c r="AB30" s="25"/>
      <c r="AC30" s="25"/>
      <c r="AD30" s="24">
        <f t="shared" ref="AD30:AF30" si="3">SUM(AD29)</f>
        <v>2039.2951265700483</v>
      </c>
      <c r="AE30" s="24">
        <f t="shared" si="3"/>
        <v>2039.2951265700483</v>
      </c>
      <c r="AF30" s="24">
        <f t="shared" si="3"/>
        <v>225</v>
      </c>
      <c r="AG30" s="25"/>
      <c r="AH30" s="25"/>
      <c r="AI30" s="25"/>
      <c r="AJ30" s="25"/>
      <c r="AK30" s="24">
        <f>SUM(AK29)</f>
        <v>1814.2951265700483</v>
      </c>
      <c r="AL30" s="24">
        <f>AK30+AF30-AE30</f>
        <v>0</v>
      </c>
      <c r="AM30" s="25"/>
      <c r="AN30" s="25"/>
      <c r="AO30" s="25">
        <v>3000</v>
      </c>
      <c r="AP30" s="29">
        <f>SUM(AP29)</f>
        <v>5.1905762383373339</v>
      </c>
      <c r="AQ30" s="29">
        <f>SUM(AQ29)</f>
        <v>8.4107144019834017</v>
      </c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</row>
    <row r="31" spans="1:63" x14ac:dyDescent="0.3">
      <c r="A31" s="3">
        <v>16</v>
      </c>
      <c r="B31" s="5" t="s">
        <v>107</v>
      </c>
      <c r="C31" s="4"/>
      <c r="D31" s="4" t="s">
        <v>91</v>
      </c>
      <c r="E31" s="8">
        <v>10.199999999999999</v>
      </c>
      <c r="F31" s="10">
        <v>10200</v>
      </c>
      <c r="G31" s="8">
        <v>5</v>
      </c>
      <c r="H31" s="10">
        <v>5000</v>
      </c>
      <c r="I31" s="6">
        <v>2.5</v>
      </c>
      <c r="J31" s="10">
        <v>2500</v>
      </c>
      <c r="K31" s="8">
        <v>8.2020997375328086</v>
      </c>
      <c r="L31" s="6">
        <v>51</v>
      </c>
      <c r="M31" s="6">
        <v>548.76</v>
      </c>
      <c r="N31" s="6">
        <v>4500.9842519685044</v>
      </c>
      <c r="O31" s="3">
        <v>77</v>
      </c>
      <c r="P31" s="3">
        <v>55</v>
      </c>
      <c r="Q31" s="3">
        <v>0</v>
      </c>
      <c r="R31" s="3" t="s">
        <v>114</v>
      </c>
      <c r="S31" s="3">
        <v>15</v>
      </c>
      <c r="T31" s="3">
        <v>5</v>
      </c>
      <c r="U31" s="3">
        <v>1.2</v>
      </c>
      <c r="V31" s="3">
        <v>0</v>
      </c>
      <c r="W31" s="3">
        <v>20</v>
      </c>
      <c r="X31" s="10">
        <f>W31*N31/60</f>
        <v>1500.3280839895015</v>
      </c>
      <c r="Y31" s="3" t="s">
        <v>126</v>
      </c>
      <c r="Z31" s="3" t="s">
        <v>116</v>
      </c>
      <c r="AA31" s="3" t="s">
        <v>126</v>
      </c>
      <c r="AB31" s="3" t="s">
        <v>127</v>
      </c>
      <c r="AC31" s="3" t="s">
        <v>128</v>
      </c>
      <c r="AD31" s="10">
        <v>2039.2951265700483</v>
      </c>
      <c r="AE31" s="10">
        <v>2039.2951265700483</v>
      </c>
      <c r="AF31" s="10">
        <v>225</v>
      </c>
      <c r="AG31" s="3">
        <v>0</v>
      </c>
      <c r="AH31" s="3">
        <v>225</v>
      </c>
      <c r="AI31" s="3"/>
      <c r="AJ31" s="3"/>
      <c r="AK31" s="10">
        <f t="shared" si="0"/>
        <v>1814.2951265700483</v>
      </c>
      <c r="AL31" s="3"/>
      <c r="AM31" s="3" t="s">
        <v>129</v>
      </c>
      <c r="AN31" s="3" t="s">
        <v>130</v>
      </c>
      <c r="AO31" s="3"/>
      <c r="AP31" s="6">
        <v>5.1905762383373339</v>
      </c>
      <c r="AQ31" s="6">
        <v>8.4107144019834017</v>
      </c>
      <c r="AR31" s="3"/>
      <c r="AS31" s="3"/>
      <c r="AT31" s="3"/>
      <c r="AU31" s="3"/>
      <c r="AV31" s="3"/>
      <c r="AW31" s="3"/>
      <c r="AX31" s="3">
        <v>6</v>
      </c>
      <c r="AY31" s="3"/>
      <c r="AZ31" s="3"/>
      <c r="BA31" s="3">
        <v>6</v>
      </c>
      <c r="BB31" s="3"/>
      <c r="BC31" s="3"/>
      <c r="BD31" s="3"/>
      <c r="BE31" s="3"/>
      <c r="BF31" s="3"/>
      <c r="BG31" s="3"/>
      <c r="BH31" s="3"/>
      <c r="BI31" s="3"/>
      <c r="BJ31" s="3"/>
      <c r="BK31" s="3"/>
    </row>
    <row r="32" spans="1:63" s="30" customFormat="1" x14ac:dyDescent="0.3">
      <c r="A32" s="25"/>
      <c r="B32" s="26"/>
      <c r="C32" s="27"/>
      <c r="D32" s="27"/>
      <c r="E32" s="28"/>
      <c r="F32" s="24"/>
      <c r="G32" s="28"/>
      <c r="H32" s="24"/>
      <c r="I32" s="29"/>
      <c r="J32" s="24"/>
      <c r="K32" s="28"/>
      <c r="L32" s="29"/>
      <c r="M32" s="29"/>
      <c r="N32" s="29"/>
      <c r="O32" s="25"/>
      <c r="P32" s="25"/>
      <c r="Q32" s="25"/>
      <c r="R32" s="25"/>
      <c r="S32" s="25"/>
      <c r="T32" s="25"/>
      <c r="U32" s="25"/>
      <c r="V32" s="25"/>
      <c r="W32" s="25"/>
      <c r="X32" s="24">
        <f>SUM(X31)</f>
        <v>1500.3280839895015</v>
      </c>
      <c r="Y32" s="25"/>
      <c r="Z32" s="25"/>
      <c r="AA32" s="25"/>
      <c r="AB32" s="25"/>
      <c r="AC32" s="25"/>
      <c r="AD32" s="24">
        <f t="shared" ref="AD32:AF32" si="4">SUM(AD31)</f>
        <v>2039.2951265700483</v>
      </c>
      <c r="AE32" s="24">
        <f t="shared" si="4"/>
        <v>2039.2951265700483</v>
      </c>
      <c r="AF32" s="24">
        <f t="shared" si="4"/>
        <v>225</v>
      </c>
      <c r="AG32" s="25"/>
      <c r="AH32" s="25"/>
      <c r="AI32" s="25"/>
      <c r="AJ32" s="25"/>
      <c r="AK32" s="24">
        <f>SUM(AK31)</f>
        <v>1814.2951265700483</v>
      </c>
      <c r="AL32" s="24">
        <f>AK32+AF32-AE32</f>
        <v>0</v>
      </c>
      <c r="AM32" s="25"/>
      <c r="AN32" s="25"/>
      <c r="AO32" s="25">
        <v>3000</v>
      </c>
      <c r="AP32" s="29">
        <f>SUM(AP31)</f>
        <v>5.1905762383373339</v>
      </c>
      <c r="AQ32" s="29">
        <f>SUM(AQ31)</f>
        <v>8.4107144019834017</v>
      </c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</row>
    <row r="33" spans="1:63" x14ac:dyDescent="0.3">
      <c r="A33" s="3">
        <v>17</v>
      </c>
      <c r="B33" s="5" t="s">
        <v>109</v>
      </c>
      <c r="C33" s="4"/>
      <c r="D33" s="4" t="s">
        <v>92</v>
      </c>
      <c r="E33" s="8">
        <v>13.4</v>
      </c>
      <c r="F33" s="10">
        <v>13400</v>
      </c>
      <c r="G33" s="8">
        <v>5</v>
      </c>
      <c r="H33" s="10">
        <v>5000</v>
      </c>
      <c r="I33" s="6">
        <v>2.5</v>
      </c>
      <c r="J33" s="10">
        <v>2500</v>
      </c>
      <c r="K33" s="8">
        <v>8.2020997375328086</v>
      </c>
      <c r="L33" s="6">
        <v>67</v>
      </c>
      <c r="M33" s="6">
        <v>720.92</v>
      </c>
      <c r="N33" s="6">
        <v>5913.0577427821518</v>
      </c>
      <c r="O33" s="3">
        <v>77</v>
      </c>
      <c r="P33" s="3">
        <v>55</v>
      </c>
      <c r="Q33" s="3">
        <v>0</v>
      </c>
      <c r="R33" s="3" t="s">
        <v>114</v>
      </c>
      <c r="S33" s="3">
        <v>15</v>
      </c>
      <c r="T33" s="3">
        <v>5</v>
      </c>
      <c r="U33" s="3">
        <v>1.2</v>
      </c>
      <c r="V33" s="3">
        <v>0</v>
      </c>
      <c r="W33" s="3">
        <v>20</v>
      </c>
      <c r="X33" s="10">
        <f>W33*N33/60</f>
        <v>1971.0192475940505</v>
      </c>
      <c r="Y33" s="3" t="s">
        <v>126</v>
      </c>
      <c r="Z33" s="3" t="s">
        <v>116</v>
      </c>
      <c r="AA33" s="3" t="s">
        <v>126</v>
      </c>
      <c r="AB33" s="3" t="s">
        <v>127</v>
      </c>
      <c r="AC33" s="3" t="s">
        <v>128</v>
      </c>
      <c r="AD33" s="10">
        <v>2204.9014028985507</v>
      </c>
      <c r="AE33" s="10">
        <v>2204.9014028985507</v>
      </c>
      <c r="AF33" s="10">
        <v>225</v>
      </c>
      <c r="AG33" s="3">
        <v>0</v>
      </c>
      <c r="AH33" s="3">
        <v>225</v>
      </c>
      <c r="AI33" s="3">
        <v>0</v>
      </c>
      <c r="AJ33" s="3">
        <v>0</v>
      </c>
      <c r="AK33" s="10">
        <f t="shared" si="0"/>
        <v>1979.9014028985507</v>
      </c>
      <c r="AL33" s="3"/>
      <c r="AM33" s="3" t="s">
        <v>129</v>
      </c>
      <c r="AN33" s="3" t="s">
        <v>130</v>
      </c>
      <c r="AO33" s="3"/>
      <c r="AP33" s="6">
        <v>5.5035000618680003</v>
      </c>
      <c r="AQ33" s="6">
        <v>9.0600128661977983</v>
      </c>
      <c r="AR33" s="3"/>
      <c r="AS33" s="3"/>
      <c r="AT33" s="3"/>
      <c r="AU33" s="3"/>
      <c r="AV33" s="3"/>
      <c r="AW33" s="3"/>
      <c r="AX33" s="3">
        <v>8</v>
      </c>
      <c r="AY33" s="3"/>
      <c r="AZ33" s="3"/>
      <c r="BA33" s="3">
        <v>8</v>
      </c>
      <c r="BB33" s="3"/>
      <c r="BC33" s="3"/>
      <c r="BD33" s="3"/>
      <c r="BE33" s="3"/>
      <c r="BF33" s="3"/>
      <c r="BG33" s="3"/>
      <c r="BH33" s="3"/>
      <c r="BI33" s="3"/>
      <c r="BJ33" s="3"/>
      <c r="BK33" s="3"/>
    </row>
    <row r="34" spans="1:63" s="30" customFormat="1" x14ac:dyDescent="0.3">
      <c r="A34" s="25"/>
      <c r="B34" s="26"/>
      <c r="C34" s="27"/>
      <c r="D34" s="27"/>
      <c r="E34" s="28"/>
      <c r="F34" s="24"/>
      <c r="G34" s="28"/>
      <c r="H34" s="24"/>
      <c r="I34" s="29"/>
      <c r="J34" s="24"/>
      <c r="K34" s="28"/>
      <c r="L34" s="29"/>
      <c r="M34" s="29"/>
      <c r="N34" s="29"/>
      <c r="O34" s="25"/>
      <c r="P34" s="25"/>
      <c r="Q34" s="25"/>
      <c r="R34" s="25"/>
      <c r="S34" s="25"/>
      <c r="T34" s="25"/>
      <c r="U34" s="25"/>
      <c r="V34" s="25"/>
      <c r="W34" s="25"/>
      <c r="X34" s="24">
        <f>SUM(X33)</f>
        <v>1971.0192475940505</v>
      </c>
      <c r="Y34" s="25"/>
      <c r="Z34" s="25"/>
      <c r="AA34" s="25"/>
      <c r="AB34" s="25"/>
      <c r="AC34" s="25"/>
      <c r="AD34" s="24">
        <f t="shared" ref="AD34:AF34" si="5">SUM(AD33)</f>
        <v>2204.9014028985507</v>
      </c>
      <c r="AE34" s="24">
        <f t="shared" si="5"/>
        <v>2204.9014028985507</v>
      </c>
      <c r="AF34" s="24">
        <f t="shared" si="5"/>
        <v>225</v>
      </c>
      <c r="AG34" s="25"/>
      <c r="AH34" s="25"/>
      <c r="AI34" s="25"/>
      <c r="AJ34" s="25"/>
      <c r="AK34" s="24">
        <f>SUM(AK33)</f>
        <v>1979.9014028985507</v>
      </c>
      <c r="AL34" s="24">
        <f>AK34+AF34-AE34</f>
        <v>0</v>
      </c>
      <c r="AM34" s="25"/>
      <c r="AN34" s="25"/>
      <c r="AO34" s="25">
        <v>3000</v>
      </c>
      <c r="AP34" s="29">
        <f>SUM(AP33)</f>
        <v>5.5035000618680003</v>
      </c>
      <c r="AQ34" s="29">
        <f>SUM(AQ33)</f>
        <v>9.0600128661977983</v>
      </c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</row>
    <row r="35" spans="1:63" x14ac:dyDescent="0.3">
      <c r="A35" s="3">
        <v>18</v>
      </c>
      <c r="B35" s="15" t="s">
        <v>106</v>
      </c>
      <c r="C35" s="4"/>
      <c r="D35" s="4" t="s">
        <v>93</v>
      </c>
      <c r="E35" s="8">
        <v>33.6</v>
      </c>
      <c r="F35" s="10">
        <v>33600</v>
      </c>
      <c r="G35" s="8">
        <v>2</v>
      </c>
      <c r="H35" s="10">
        <v>2000</v>
      </c>
      <c r="I35" s="6">
        <v>2.5</v>
      </c>
      <c r="J35" s="10">
        <v>2500</v>
      </c>
      <c r="K35" s="8">
        <v>8.2020997375328086</v>
      </c>
      <c r="L35" s="6">
        <v>67.2</v>
      </c>
      <c r="M35" s="6">
        <v>723.072</v>
      </c>
      <c r="N35" s="6">
        <v>5930.7086614173231</v>
      </c>
      <c r="O35" s="3">
        <v>77</v>
      </c>
      <c r="P35" s="3">
        <v>55</v>
      </c>
      <c r="Q35" s="3">
        <v>0</v>
      </c>
      <c r="R35" s="3" t="s">
        <v>114</v>
      </c>
      <c r="S35" s="3">
        <v>2</v>
      </c>
      <c r="T35" s="3">
        <v>0</v>
      </c>
      <c r="U35" s="3">
        <v>1.2</v>
      </c>
      <c r="V35" s="3">
        <v>0</v>
      </c>
      <c r="W35" s="3">
        <v>20</v>
      </c>
      <c r="X35" s="10">
        <f>W35*N35/60</f>
        <v>1976.9028871391079</v>
      </c>
      <c r="Y35" s="3" t="s">
        <v>126</v>
      </c>
      <c r="Z35" s="3" t="s">
        <v>116</v>
      </c>
      <c r="AA35" s="3" t="s">
        <v>126</v>
      </c>
      <c r="AB35" s="3" t="s">
        <v>127</v>
      </c>
      <c r="AC35" s="3" t="s">
        <v>128</v>
      </c>
      <c r="AD35" s="10">
        <v>916.70793399033812</v>
      </c>
      <c r="AE35" s="10">
        <v>916.70793399033812</v>
      </c>
      <c r="AF35" s="10">
        <v>60</v>
      </c>
      <c r="AG35" s="3">
        <v>0</v>
      </c>
      <c r="AH35" s="3">
        <v>0</v>
      </c>
      <c r="AI35" s="3">
        <v>0</v>
      </c>
      <c r="AJ35" s="3">
        <v>0</v>
      </c>
      <c r="AK35" s="10">
        <f t="shared" si="0"/>
        <v>916.70793399033812</v>
      </c>
      <c r="AL35" s="3"/>
      <c r="AM35" s="3" t="s">
        <v>129</v>
      </c>
      <c r="AN35" s="3" t="s">
        <v>130</v>
      </c>
      <c r="AO35" s="3"/>
      <c r="AP35" s="6">
        <v>2.1685818979738456</v>
      </c>
      <c r="AQ35" s="6">
        <v>5.5120494208653614</v>
      </c>
      <c r="AR35" s="3"/>
      <c r="AS35" s="3"/>
      <c r="AT35" s="3"/>
      <c r="AU35" s="3"/>
      <c r="AV35" s="3"/>
      <c r="AW35" s="3"/>
      <c r="AX35" s="3"/>
      <c r="AY35" s="3"/>
      <c r="AZ35" s="3"/>
      <c r="BA35" s="3">
        <v>4</v>
      </c>
      <c r="BB35" s="3"/>
      <c r="BC35" s="3"/>
      <c r="BD35" s="3">
        <v>5</v>
      </c>
      <c r="BE35" s="3"/>
      <c r="BF35" s="3"/>
      <c r="BG35" s="3"/>
      <c r="BH35" s="3"/>
      <c r="BI35" s="3"/>
      <c r="BJ35" s="3"/>
      <c r="BK35" s="3"/>
    </row>
    <row r="36" spans="1:63" x14ac:dyDescent="0.3">
      <c r="A36" s="3">
        <v>19</v>
      </c>
      <c r="B36" s="15" t="s">
        <v>106</v>
      </c>
      <c r="C36" s="4"/>
      <c r="D36" s="4" t="s">
        <v>94</v>
      </c>
      <c r="E36" s="8">
        <v>4</v>
      </c>
      <c r="F36" s="10">
        <v>4000</v>
      </c>
      <c r="G36" s="8">
        <v>2.5</v>
      </c>
      <c r="H36" s="10">
        <v>2500</v>
      </c>
      <c r="I36" s="6">
        <v>2.5</v>
      </c>
      <c r="J36" s="10">
        <v>2500</v>
      </c>
      <c r="K36" s="8">
        <v>8.2020997375328086</v>
      </c>
      <c r="L36" s="6">
        <v>10</v>
      </c>
      <c r="M36" s="6">
        <v>107.6</v>
      </c>
      <c r="N36" s="6">
        <v>882.54593175853017</v>
      </c>
      <c r="O36" s="3">
        <v>77</v>
      </c>
      <c r="P36" s="3">
        <v>55</v>
      </c>
      <c r="Q36" s="3">
        <v>0</v>
      </c>
      <c r="R36" s="3" t="s">
        <v>114</v>
      </c>
      <c r="S36" s="3">
        <v>5</v>
      </c>
      <c r="T36" s="3">
        <v>0</v>
      </c>
      <c r="U36" s="3">
        <v>1.2</v>
      </c>
      <c r="V36" s="3">
        <v>0</v>
      </c>
      <c r="W36" s="3">
        <v>20</v>
      </c>
      <c r="X36" s="10">
        <f t="shared" ref="X36:X40" si="6">W36*N36/60</f>
        <v>294.18197725284341</v>
      </c>
      <c r="Y36" s="3" t="s">
        <v>126</v>
      </c>
      <c r="Z36" s="3" t="s">
        <v>116</v>
      </c>
      <c r="AA36" s="3" t="s">
        <v>126</v>
      </c>
      <c r="AB36" s="3" t="s">
        <v>127</v>
      </c>
      <c r="AC36" s="3" t="s">
        <v>128</v>
      </c>
      <c r="AD36" s="10">
        <v>332.75513043478259</v>
      </c>
      <c r="AE36" s="10">
        <v>332.75513043478259</v>
      </c>
      <c r="AF36" s="10">
        <v>60</v>
      </c>
      <c r="AG36" s="3">
        <v>0</v>
      </c>
      <c r="AH36" s="3">
        <v>100</v>
      </c>
      <c r="AI36" s="3">
        <v>0</v>
      </c>
      <c r="AJ36" s="3">
        <v>0</v>
      </c>
      <c r="AK36" s="10">
        <f t="shared" si="0"/>
        <v>232.75513043478259</v>
      </c>
      <c r="AL36" s="3"/>
      <c r="AM36" s="3" t="s">
        <v>129</v>
      </c>
      <c r="AN36" s="3" t="s">
        <v>130</v>
      </c>
      <c r="AO36" s="3"/>
      <c r="AP36" s="6">
        <v>1.0744942955400001</v>
      </c>
      <c r="AQ36" s="6">
        <v>2.5195033892339995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>
        <v>2</v>
      </c>
      <c r="BC36" s="3"/>
      <c r="BD36" s="3"/>
      <c r="BE36" s="3">
        <v>2</v>
      </c>
      <c r="BF36" s="3"/>
      <c r="BG36" s="3"/>
      <c r="BH36" s="3"/>
      <c r="BI36" s="3"/>
      <c r="BJ36" s="3"/>
      <c r="BK36" s="3"/>
    </row>
    <row r="37" spans="1:63" x14ac:dyDescent="0.3">
      <c r="A37" s="3">
        <v>20</v>
      </c>
      <c r="B37" s="15" t="s">
        <v>106</v>
      </c>
      <c r="C37" s="4"/>
      <c r="D37" s="4" t="s">
        <v>95</v>
      </c>
      <c r="E37" s="8">
        <v>4</v>
      </c>
      <c r="F37" s="10">
        <v>4000</v>
      </c>
      <c r="G37" s="8">
        <v>2.5</v>
      </c>
      <c r="H37" s="10">
        <v>2500</v>
      </c>
      <c r="I37" s="6">
        <v>2.5</v>
      </c>
      <c r="J37" s="10">
        <v>2500</v>
      </c>
      <c r="K37" s="8">
        <v>8.2020997375328086</v>
      </c>
      <c r="L37" s="6">
        <v>10</v>
      </c>
      <c r="M37" s="6">
        <v>107.6</v>
      </c>
      <c r="N37" s="6">
        <v>882.54593175853017</v>
      </c>
      <c r="O37" s="3">
        <v>77</v>
      </c>
      <c r="P37" s="3">
        <v>55</v>
      </c>
      <c r="Q37" s="3">
        <v>0</v>
      </c>
      <c r="R37" s="3" t="s">
        <v>114</v>
      </c>
      <c r="S37" s="3">
        <v>5</v>
      </c>
      <c r="T37" s="3">
        <v>0</v>
      </c>
      <c r="U37" s="3">
        <v>1.2</v>
      </c>
      <c r="V37" s="3">
        <v>0</v>
      </c>
      <c r="W37" s="3">
        <v>20</v>
      </c>
      <c r="X37" s="10">
        <f t="shared" si="6"/>
        <v>294.18197725284341</v>
      </c>
      <c r="Y37" s="3" t="s">
        <v>126</v>
      </c>
      <c r="Z37" s="3" t="s">
        <v>116</v>
      </c>
      <c r="AA37" s="3" t="s">
        <v>126</v>
      </c>
      <c r="AB37" s="3" t="s">
        <v>127</v>
      </c>
      <c r="AC37" s="3" t="s">
        <v>128</v>
      </c>
      <c r="AD37" s="10">
        <v>332.75513043478259</v>
      </c>
      <c r="AE37" s="10">
        <v>332.75513043478259</v>
      </c>
      <c r="AF37" s="10">
        <v>60</v>
      </c>
      <c r="AG37" s="3">
        <v>0</v>
      </c>
      <c r="AH37" s="3">
        <v>0</v>
      </c>
      <c r="AI37" s="3">
        <v>0</v>
      </c>
      <c r="AJ37" s="3">
        <v>0</v>
      </c>
      <c r="AK37" s="10">
        <f t="shared" si="0"/>
        <v>332.75513043478259</v>
      </c>
      <c r="AL37" s="3"/>
      <c r="AM37" s="3" t="s">
        <v>129</v>
      </c>
      <c r="AN37" s="3" t="s">
        <v>130</v>
      </c>
      <c r="AO37" s="3"/>
      <c r="AP37" s="6">
        <v>1.0744942955400001</v>
      </c>
      <c r="AQ37" s="6">
        <v>2.5195033892339995</v>
      </c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>
        <v>2</v>
      </c>
      <c r="BC37" s="3"/>
      <c r="BD37" s="3"/>
      <c r="BE37" s="3">
        <v>2</v>
      </c>
      <c r="BF37" s="3"/>
      <c r="BG37" s="3"/>
      <c r="BH37" s="3"/>
      <c r="BI37" s="3"/>
      <c r="BJ37" s="3"/>
      <c r="BK37" s="3"/>
    </row>
    <row r="38" spans="1:63" x14ac:dyDescent="0.3">
      <c r="A38" s="3">
        <v>21</v>
      </c>
      <c r="B38" s="15" t="s">
        <v>106</v>
      </c>
      <c r="C38" s="4"/>
      <c r="D38" s="4" t="s">
        <v>97</v>
      </c>
      <c r="E38" s="8">
        <v>3</v>
      </c>
      <c r="F38" s="10">
        <v>3000</v>
      </c>
      <c r="G38" s="8">
        <v>3</v>
      </c>
      <c r="H38" s="10">
        <v>3000</v>
      </c>
      <c r="I38" s="6">
        <v>2.5</v>
      </c>
      <c r="J38" s="10">
        <v>2500</v>
      </c>
      <c r="K38" s="8">
        <v>8.2020997375328086</v>
      </c>
      <c r="L38" s="6">
        <v>9</v>
      </c>
      <c r="M38" s="6">
        <v>96.84</v>
      </c>
      <c r="N38" s="6">
        <v>794.29133858267721</v>
      </c>
      <c r="O38" s="3">
        <v>77</v>
      </c>
      <c r="P38" s="3">
        <v>55</v>
      </c>
      <c r="Q38" s="3">
        <v>0</v>
      </c>
      <c r="R38" s="3" t="s">
        <v>114</v>
      </c>
      <c r="S38" s="3">
        <v>5</v>
      </c>
      <c r="T38" s="3">
        <v>0</v>
      </c>
      <c r="U38" s="3">
        <v>1.2</v>
      </c>
      <c r="V38" s="3">
        <v>0</v>
      </c>
      <c r="W38" s="3">
        <v>20</v>
      </c>
      <c r="X38" s="10">
        <f t="shared" si="6"/>
        <v>264.76377952755905</v>
      </c>
      <c r="Y38" s="3" t="s">
        <v>126</v>
      </c>
      <c r="Z38" s="3" t="s">
        <v>116</v>
      </c>
      <c r="AA38" s="3" t="s">
        <v>126</v>
      </c>
      <c r="AB38" s="3" t="s">
        <v>127</v>
      </c>
      <c r="AC38" s="3" t="s">
        <v>128</v>
      </c>
      <c r="AD38" s="10">
        <v>322.40473816425117</v>
      </c>
      <c r="AE38" s="10">
        <v>322.40473816425117</v>
      </c>
      <c r="AF38" s="10">
        <v>60</v>
      </c>
      <c r="AG38" s="3">
        <v>0</v>
      </c>
      <c r="AH38" s="3">
        <v>100</v>
      </c>
      <c r="AI38" s="3">
        <v>0</v>
      </c>
      <c r="AJ38" s="3">
        <v>0</v>
      </c>
      <c r="AK38" s="10">
        <f t="shared" si="0"/>
        <v>222.40473816425117</v>
      </c>
      <c r="AL38" s="3"/>
      <c r="AM38" s="3" t="s">
        <v>129</v>
      </c>
      <c r="AN38" s="3" t="s">
        <v>130</v>
      </c>
      <c r="AO38" s="3"/>
      <c r="AP38" s="6">
        <v>1.0549365565693332</v>
      </c>
      <c r="AQ38" s="6">
        <v>2.4789222352206002</v>
      </c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>
        <v>2</v>
      </c>
      <c r="BC38" s="3"/>
      <c r="BD38" s="3"/>
      <c r="BE38" s="3">
        <v>2</v>
      </c>
      <c r="BF38" s="3"/>
      <c r="BG38" s="3"/>
      <c r="BH38" s="3"/>
      <c r="BI38" s="3"/>
      <c r="BJ38" s="3"/>
      <c r="BK38" s="3"/>
    </row>
    <row r="39" spans="1:63" x14ac:dyDescent="0.3">
      <c r="A39" s="3">
        <v>22</v>
      </c>
      <c r="B39" s="15" t="s">
        <v>106</v>
      </c>
      <c r="C39" s="4"/>
      <c r="D39" s="4" t="s">
        <v>96</v>
      </c>
      <c r="E39" s="8">
        <v>3</v>
      </c>
      <c r="F39" s="10">
        <v>3000</v>
      </c>
      <c r="G39" s="8">
        <v>3</v>
      </c>
      <c r="H39" s="10">
        <v>3000</v>
      </c>
      <c r="I39" s="6">
        <v>2.5</v>
      </c>
      <c r="J39" s="10">
        <v>2500</v>
      </c>
      <c r="K39" s="8">
        <v>8.2020997375328086</v>
      </c>
      <c r="L39" s="6">
        <v>9</v>
      </c>
      <c r="M39" s="6">
        <v>96.84</v>
      </c>
      <c r="N39" s="6">
        <v>794.29133858267721</v>
      </c>
      <c r="O39" s="3">
        <v>77</v>
      </c>
      <c r="P39" s="3">
        <v>55</v>
      </c>
      <c r="Q39" s="3">
        <v>0</v>
      </c>
      <c r="R39" s="3" t="s">
        <v>114</v>
      </c>
      <c r="S39" s="3">
        <v>5</v>
      </c>
      <c r="T39" s="3">
        <v>0</v>
      </c>
      <c r="U39" s="3">
        <v>1.2</v>
      </c>
      <c r="V39" s="3">
        <v>0</v>
      </c>
      <c r="W39" s="3">
        <v>20</v>
      </c>
      <c r="X39" s="10">
        <f t="shared" si="6"/>
        <v>264.76377952755905</v>
      </c>
      <c r="Y39" s="3" t="s">
        <v>126</v>
      </c>
      <c r="Z39" s="3" t="s">
        <v>116</v>
      </c>
      <c r="AA39" s="3" t="s">
        <v>126</v>
      </c>
      <c r="AB39" s="3" t="s">
        <v>127</v>
      </c>
      <c r="AC39" s="3" t="s">
        <v>128</v>
      </c>
      <c r="AD39" s="10">
        <v>181.31778164251207</v>
      </c>
      <c r="AE39" s="10">
        <v>181.31778164251207</v>
      </c>
      <c r="AF39" s="10">
        <v>60</v>
      </c>
      <c r="AG39" s="3">
        <v>0</v>
      </c>
      <c r="AH39" s="3">
        <v>0</v>
      </c>
      <c r="AI39" s="3">
        <v>0</v>
      </c>
      <c r="AJ39" s="3">
        <v>0</v>
      </c>
      <c r="AK39" s="10">
        <f t="shared" si="0"/>
        <v>181.31778164251207</v>
      </c>
      <c r="AL39" s="3"/>
      <c r="AM39" s="3" t="s">
        <v>129</v>
      </c>
      <c r="AN39" s="3" t="s">
        <v>130</v>
      </c>
      <c r="AO39" s="3"/>
      <c r="AP39" s="6">
        <v>0.50705485906933323</v>
      </c>
      <c r="AQ39" s="6">
        <v>0.36523038612059999</v>
      </c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>
        <v>2</v>
      </c>
      <c r="BC39" s="3"/>
      <c r="BD39" s="3"/>
      <c r="BE39" s="3">
        <v>2</v>
      </c>
      <c r="BF39" s="3"/>
      <c r="BG39" s="3"/>
      <c r="BH39" s="3"/>
      <c r="BI39" s="3"/>
      <c r="BJ39" s="3"/>
      <c r="BK39" s="3"/>
    </row>
    <row r="40" spans="1:63" x14ac:dyDescent="0.3">
      <c r="A40" s="3">
        <v>23</v>
      </c>
      <c r="B40" s="15" t="s">
        <v>106</v>
      </c>
      <c r="C40" s="4"/>
      <c r="D40" s="4" t="s">
        <v>98</v>
      </c>
      <c r="E40" s="8">
        <v>2</v>
      </c>
      <c r="F40" s="10">
        <v>2000</v>
      </c>
      <c r="G40" s="8">
        <v>3</v>
      </c>
      <c r="H40" s="10">
        <v>3000</v>
      </c>
      <c r="I40" s="6">
        <v>3</v>
      </c>
      <c r="J40" s="10">
        <v>3000</v>
      </c>
      <c r="K40" s="8">
        <v>9.8425196850393704</v>
      </c>
      <c r="L40" s="6">
        <v>6</v>
      </c>
      <c r="M40" s="6">
        <v>64.56</v>
      </c>
      <c r="N40" s="6">
        <v>635.43307086614175</v>
      </c>
      <c r="O40" s="3">
        <v>77</v>
      </c>
      <c r="P40" s="3">
        <v>55</v>
      </c>
      <c r="Q40" s="3">
        <v>0</v>
      </c>
      <c r="R40" s="3" t="s">
        <v>114</v>
      </c>
      <c r="S40" s="3">
        <v>1</v>
      </c>
      <c r="T40" s="3">
        <v>0</v>
      </c>
      <c r="U40" s="3">
        <v>1.2</v>
      </c>
      <c r="V40" s="3">
        <v>0</v>
      </c>
      <c r="W40" s="3">
        <v>20</v>
      </c>
      <c r="X40" s="10">
        <f t="shared" si="6"/>
        <v>211.81102362204726</v>
      </c>
      <c r="Y40" s="3" t="s">
        <v>126</v>
      </c>
      <c r="Z40" s="3" t="s">
        <v>116</v>
      </c>
      <c r="AA40" s="3" t="s">
        <v>126</v>
      </c>
      <c r="AB40" s="3" t="s">
        <v>127</v>
      </c>
      <c r="AC40" s="3" t="s">
        <v>128</v>
      </c>
      <c r="AD40" s="10">
        <v>151.2192618357488</v>
      </c>
      <c r="AE40" s="10">
        <v>151.2192618357488</v>
      </c>
      <c r="AF40" s="10">
        <v>15</v>
      </c>
      <c r="AG40" s="3">
        <v>0</v>
      </c>
      <c r="AH40" s="3">
        <v>115</v>
      </c>
      <c r="AI40" s="3">
        <v>0</v>
      </c>
      <c r="AJ40" s="3">
        <v>0</v>
      </c>
      <c r="AK40" s="10">
        <f t="shared" si="0"/>
        <v>36.219261835748796</v>
      </c>
      <c r="AL40" s="3"/>
      <c r="AM40" s="3" t="s">
        <v>129</v>
      </c>
      <c r="AN40" s="3" t="s">
        <v>130</v>
      </c>
      <c r="AO40" s="3"/>
      <c r="AP40" s="6">
        <v>0.46114686889066675</v>
      </c>
      <c r="AQ40" s="6">
        <v>1.3144241276243998</v>
      </c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>
        <v>1</v>
      </c>
      <c r="BC40" s="3"/>
      <c r="BD40" s="3"/>
      <c r="BE40" s="3">
        <v>1</v>
      </c>
      <c r="BF40" s="3"/>
      <c r="BG40" s="3"/>
      <c r="BH40" s="3"/>
      <c r="BI40" s="3"/>
      <c r="BJ40" s="3"/>
      <c r="BK40" s="3"/>
    </row>
    <row r="41" spans="1:63" s="30" customFormat="1" x14ac:dyDescent="0.3">
      <c r="A41" s="25"/>
      <c r="B41" s="26"/>
      <c r="C41" s="27"/>
      <c r="D41" s="27"/>
      <c r="E41" s="28"/>
      <c r="F41" s="24"/>
      <c r="G41" s="28"/>
      <c r="H41" s="24"/>
      <c r="I41" s="29"/>
      <c r="J41" s="24"/>
      <c r="K41" s="28"/>
      <c r="L41" s="29"/>
      <c r="M41" s="29"/>
      <c r="N41" s="29"/>
      <c r="O41" s="25"/>
      <c r="P41" s="25"/>
      <c r="Q41" s="25"/>
      <c r="R41" s="25"/>
      <c r="S41" s="25"/>
      <c r="T41" s="25"/>
      <c r="U41" s="25"/>
      <c r="V41" s="25"/>
      <c r="W41" s="25"/>
      <c r="X41" s="24">
        <f>SUM(X35:X40)</f>
        <v>3306.6054243219601</v>
      </c>
      <c r="Y41" s="25"/>
      <c r="Z41" s="25"/>
      <c r="AA41" s="25"/>
      <c r="AB41" s="25"/>
      <c r="AC41" s="25"/>
      <c r="AD41" s="24">
        <f t="shared" ref="AD41:AF41" si="7">SUM(AD35:AD40)</f>
        <v>2237.1599765024157</v>
      </c>
      <c r="AE41" s="24">
        <f t="shared" si="7"/>
        <v>2237.1599765024157</v>
      </c>
      <c r="AF41" s="24">
        <f t="shared" si="7"/>
        <v>315</v>
      </c>
      <c r="AG41" s="25"/>
      <c r="AH41" s="25"/>
      <c r="AI41" s="25"/>
      <c r="AJ41" s="25"/>
      <c r="AK41" s="24">
        <f>SUM(AK35:AK40)</f>
        <v>1922.1599765024152</v>
      </c>
      <c r="AL41" s="24">
        <f>AK41+AF41-AE41</f>
        <v>0</v>
      </c>
      <c r="AM41" s="25"/>
      <c r="AN41" s="25"/>
      <c r="AO41" s="25">
        <v>3000</v>
      </c>
      <c r="AP41" s="29">
        <f>SUM(AP35:AP40)</f>
        <v>6.3407087735831791</v>
      </c>
      <c r="AQ41" s="29">
        <f>SUM(AQ35:AQ40)</f>
        <v>14.70963294829896</v>
      </c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</row>
    <row r="42" spans="1:63" x14ac:dyDescent="0.3">
      <c r="A42" s="3">
        <v>24</v>
      </c>
      <c r="B42" s="35" t="s">
        <v>110</v>
      </c>
      <c r="C42" s="4"/>
      <c r="D42" s="4" t="s">
        <v>99</v>
      </c>
      <c r="E42" s="8">
        <v>3</v>
      </c>
      <c r="F42" s="10">
        <f t="shared" ref="F42:F44" si="8">E42*1000</f>
        <v>3000</v>
      </c>
      <c r="G42" s="8">
        <v>6.2</v>
      </c>
      <c r="H42" s="10">
        <f t="shared" ref="H42:H44" si="9">G42*1000</f>
        <v>6200</v>
      </c>
      <c r="I42" s="6">
        <v>3.5</v>
      </c>
      <c r="J42" s="10">
        <f t="shared" ref="J42:J44" si="10">I42*1000</f>
        <v>3500</v>
      </c>
      <c r="K42" s="8">
        <f t="shared" ref="K42:K44" si="11">I42*1000/304.8</f>
        <v>11.482939632545932</v>
      </c>
      <c r="L42" s="6">
        <f t="shared" ref="L42:L44" si="12">E42*G42</f>
        <v>18.600000000000001</v>
      </c>
      <c r="M42" s="6">
        <f t="shared" ref="M42:M44" si="13">L42*10.76</f>
        <v>200.13600000000002</v>
      </c>
      <c r="N42" s="6">
        <f t="shared" ref="N42:N44" si="14">M42*K42</f>
        <v>2298.1496062992128</v>
      </c>
      <c r="O42" s="3">
        <v>77</v>
      </c>
      <c r="P42" s="3">
        <v>55</v>
      </c>
      <c r="Q42" s="3">
        <v>0</v>
      </c>
      <c r="R42" s="3" t="s">
        <v>115</v>
      </c>
      <c r="S42" s="3">
        <v>1</v>
      </c>
      <c r="T42" s="3">
        <v>0</v>
      </c>
      <c r="U42" s="3">
        <v>1.2</v>
      </c>
      <c r="V42" s="3">
        <v>0</v>
      </c>
      <c r="W42" s="3">
        <v>30</v>
      </c>
      <c r="X42" s="10">
        <f t="shared" ref="X42:X44" si="15">N42*W42/60</f>
        <v>1149.0748031496064</v>
      </c>
      <c r="Y42" s="3" t="s">
        <v>116</v>
      </c>
      <c r="Z42" s="3" t="s">
        <v>116</v>
      </c>
      <c r="AA42" s="3" t="s">
        <v>116</v>
      </c>
      <c r="AB42" s="3" t="s">
        <v>116</v>
      </c>
      <c r="AC42" s="3" t="s">
        <v>116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</v>
      </c>
      <c r="BK42" s="3"/>
    </row>
    <row r="43" spans="1:63" x14ac:dyDescent="0.3">
      <c r="A43" s="3">
        <v>25</v>
      </c>
      <c r="B43" s="35" t="s">
        <v>111</v>
      </c>
      <c r="C43" s="4"/>
      <c r="D43" s="4" t="s">
        <v>100</v>
      </c>
      <c r="E43" s="8">
        <v>3</v>
      </c>
      <c r="F43" s="10">
        <f t="shared" si="8"/>
        <v>3000</v>
      </c>
      <c r="G43" s="8">
        <v>4.3</v>
      </c>
      <c r="H43" s="10">
        <f t="shared" si="9"/>
        <v>4300</v>
      </c>
      <c r="I43" s="6">
        <v>2.5</v>
      </c>
      <c r="J43" s="10">
        <f t="shared" si="10"/>
        <v>2500</v>
      </c>
      <c r="K43" s="8">
        <f t="shared" si="11"/>
        <v>8.2020997375328086</v>
      </c>
      <c r="L43" s="6">
        <f t="shared" si="12"/>
        <v>12.899999999999999</v>
      </c>
      <c r="M43" s="6">
        <f t="shared" si="13"/>
        <v>138.80399999999997</v>
      </c>
      <c r="N43" s="6">
        <f t="shared" si="14"/>
        <v>1138.4842519685037</v>
      </c>
      <c r="O43" s="3">
        <v>77</v>
      </c>
      <c r="P43" s="3">
        <v>55</v>
      </c>
      <c r="Q43" s="3">
        <v>0</v>
      </c>
      <c r="R43" s="3" t="s">
        <v>115</v>
      </c>
      <c r="S43" s="3">
        <v>2</v>
      </c>
      <c r="T43" s="3">
        <v>0</v>
      </c>
      <c r="U43" s="3">
        <v>1.2</v>
      </c>
      <c r="V43" s="3">
        <v>0</v>
      </c>
      <c r="W43" s="3">
        <v>30</v>
      </c>
      <c r="X43" s="10">
        <f t="shared" si="15"/>
        <v>569.24212598425186</v>
      </c>
      <c r="Y43" s="3" t="s">
        <v>116</v>
      </c>
      <c r="Z43" s="3" t="s">
        <v>116</v>
      </c>
      <c r="AA43" s="3" t="s">
        <v>116</v>
      </c>
      <c r="AB43" s="3" t="s">
        <v>116</v>
      </c>
      <c r="AC43" s="3" t="s">
        <v>116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>
        <v>2</v>
      </c>
      <c r="BH43" s="3"/>
      <c r="BI43" s="3"/>
      <c r="BJ43" s="3">
        <v>2</v>
      </c>
      <c r="BK43" s="3"/>
    </row>
    <row r="44" spans="1:63" x14ac:dyDescent="0.3">
      <c r="A44" s="3">
        <v>26</v>
      </c>
      <c r="B44" s="35" t="s">
        <v>112</v>
      </c>
      <c r="C44" s="4"/>
      <c r="D44" s="4" t="s">
        <v>101</v>
      </c>
      <c r="E44" s="8">
        <v>3</v>
      </c>
      <c r="F44" s="10">
        <f t="shared" si="8"/>
        <v>3000</v>
      </c>
      <c r="G44" s="8">
        <v>4.5</v>
      </c>
      <c r="H44" s="10">
        <f t="shared" si="9"/>
        <v>4500</v>
      </c>
      <c r="I44" s="6">
        <v>2.5</v>
      </c>
      <c r="J44" s="10">
        <f t="shared" si="10"/>
        <v>2500</v>
      </c>
      <c r="K44" s="8">
        <f t="shared" si="11"/>
        <v>8.2020997375328086</v>
      </c>
      <c r="L44" s="6">
        <f t="shared" si="12"/>
        <v>13.5</v>
      </c>
      <c r="M44" s="6">
        <f t="shared" si="13"/>
        <v>145.26</v>
      </c>
      <c r="N44" s="6">
        <f t="shared" si="14"/>
        <v>1191.4370078740158</v>
      </c>
      <c r="O44" s="3">
        <v>77</v>
      </c>
      <c r="P44" s="3">
        <v>55</v>
      </c>
      <c r="Q44" s="3">
        <v>0</v>
      </c>
      <c r="R44" s="3" t="s">
        <v>115</v>
      </c>
      <c r="S44" s="3">
        <v>2</v>
      </c>
      <c r="T44" s="3">
        <v>0</v>
      </c>
      <c r="U44" s="3">
        <v>1.2</v>
      </c>
      <c r="V44" s="3">
        <v>0</v>
      </c>
      <c r="W44" s="3">
        <v>30</v>
      </c>
      <c r="X44" s="10">
        <f t="shared" si="15"/>
        <v>595.71850393700777</v>
      </c>
      <c r="Y44" s="3" t="s">
        <v>116</v>
      </c>
      <c r="Z44" s="3" t="s">
        <v>116</v>
      </c>
      <c r="AA44" s="3" t="s">
        <v>116</v>
      </c>
      <c r="AB44" s="3" t="s">
        <v>116</v>
      </c>
      <c r="AC44" s="3" t="s">
        <v>116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>
        <v>2</v>
      </c>
      <c r="BH44" s="3"/>
      <c r="BI44" s="3"/>
      <c r="BJ44" s="3">
        <v>2</v>
      </c>
      <c r="BK44" s="3"/>
    </row>
    <row r="45" spans="1:63" x14ac:dyDescent="0.3">
      <c r="AT45" s="1">
        <f>SUM(AT11:AT44)</f>
        <v>6</v>
      </c>
      <c r="AU45" s="1">
        <f t="shared" ref="AU45:BK45" si="16">SUM(AU11:AU44)</f>
        <v>8</v>
      </c>
      <c r="AV45" s="1">
        <f t="shared" si="16"/>
        <v>7</v>
      </c>
      <c r="AW45" s="1">
        <f t="shared" si="16"/>
        <v>0</v>
      </c>
      <c r="AX45" s="1">
        <f t="shared" si="16"/>
        <v>38</v>
      </c>
      <c r="AY45" s="1">
        <f t="shared" si="16"/>
        <v>10</v>
      </c>
      <c r="AZ45" s="1">
        <f t="shared" si="16"/>
        <v>0</v>
      </c>
      <c r="BA45" s="1">
        <f t="shared" si="16"/>
        <v>24</v>
      </c>
      <c r="BB45" s="1">
        <f t="shared" si="16"/>
        <v>9</v>
      </c>
      <c r="BD45" s="1">
        <f t="shared" si="16"/>
        <v>5</v>
      </c>
      <c r="BE45" s="1">
        <f t="shared" si="16"/>
        <v>9</v>
      </c>
      <c r="BF45" s="1">
        <f t="shared" si="16"/>
        <v>0</v>
      </c>
      <c r="BG45" s="1">
        <f t="shared" si="16"/>
        <v>4</v>
      </c>
      <c r="BH45" s="1">
        <f t="shared" si="16"/>
        <v>0</v>
      </c>
      <c r="BI45" s="1">
        <f t="shared" si="16"/>
        <v>0</v>
      </c>
      <c r="BJ45" s="1">
        <f t="shared" si="16"/>
        <v>5</v>
      </c>
      <c r="BK45" s="1">
        <f t="shared" si="16"/>
        <v>0</v>
      </c>
    </row>
  </sheetData>
  <mergeCells count="49">
    <mergeCell ref="BF8:BH8"/>
    <mergeCell ref="BI8:BK8"/>
    <mergeCell ref="E9:F9"/>
    <mergeCell ref="G9:H9"/>
    <mergeCell ref="I9:K9"/>
    <mergeCell ref="AR8:AR9"/>
    <mergeCell ref="AS8:AS9"/>
    <mergeCell ref="AT8:AV8"/>
    <mergeCell ref="AW8:AY8"/>
    <mergeCell ref="AZ8:BB8"/>
    <mergeCell ref="BC8:BE8"/>
    <mergeCell ref="AL8:AL9"/>
    <mergeCell ref="AM8:AM9"/>
    <mergeCell ref="AN8:AN9"/>
    <mergeCell ref="AO8:AO9"/>
    <mergeCell ref="AP8:AP9"/>
    <mergeCell ref="AQ8:AQ9"/>
    <mergeCell ref="AF8:AF9"/>
    <mergeCell ref="AG8:AG9"/>
    <mergeCell ref="AH8:AH9"/>
    <mergeCell ref="AI8:AI9"/>
    <mergeCell ref="AJ8:AJ9"/>
    <mergeCell ref="AK8:AK9"/>
    <mergeCell ref="AE8:AE9"/>
    <mergeCell ref="Q8:Q9"/>
    <mergeCell ref="R8:R9"/>
    <mergeCell ref="S8:S9"/>
    <mergeCell ref="T8:T9"/>
    <mergeCell ref="U8:U9"/>
    <mergeCell ref="V8:V10"/>
    <mergeCell ref="W8:W9"/>
    <mergeCell ref="X8:X9"/>
    <mergeCell ref="Y8:AB9"/>
    <mergeCell ref="AC8:AC9"/>
    <mergeCell ref="AD8:AD9"/>
    <mergeCell ref="M6:N6"/>
    <mergeCell ref="A8:A9"/>
    <mergeCell ref="B8:B9"/>
    <mergeCell ref="C8:C9"/>
    <mergeCell ref="D8:D9"/>
    <mergeCell ref="E8:K8"/>
    <mergeCell ref="L8:M9"/>
    <mergeCell ref="N8:N9"/>
    <mergeCell ref="M5:N5"/>
    <mergeCell ref="M1:N2"/>
    <mergeCell ref="O1:P1"/>
    <mergeCell ref="Q1:Q2"/>
    <mergeCell ref="M3:Q3"/>
    <mergeCell ref="M4:N4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2026-09-29T05:28:56Z</dcterms:modified>
</cp:coreProperties>
</file>